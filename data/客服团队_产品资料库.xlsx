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产品资料库"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0" customWidth="1"/>
    <col min="6" max="6" width="0" customWidth="1"/>
    <col min="7" max="7" width="0" customWidth="1"/>
    <col min="8" max="8" width="0"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0" customWidth="1"/>
    <col min="20" max="20" width="0" customWidth="1"/>
    <col min="21" max="21" width="19" customWidth="1"/>
    <col min="22" max="22" width="19" customWidth="1"/>
    <col min="23" max="23" width="19" customWidth="1"/>
    <col min="24" max="24" width="19" customWidth="1"/>
    <col min="25" max="25" width="19" customWidth="1"/>
    <col min="26" max="26" width="19" customWidth="1"/>
    <col min="27" max="27" width="19" customWidth="1"/>
  </cols>
  <sheetData>
    <row r="1" ht="13" customHeight="1">
      <c r="A1" s="1" t="inlineStr">
        <is>
          <t>序号</t>
        </is>
      </c>
      <c r="B1" s="1" t="inlineStr">
        <is>
          <t>产品名称</t>
        </is>
      </c>
      <c r="C1" s="1" t="inlineStr">
        <is>
          <t>产品例图</t>
        </is>
      </c>
      <c r="D1" s="1" t="inlineStr">
        <is>
          <t>产品定价</t>
        </is>
      </c>
      <c r="E1" s="1" t="inlineStr">
        <is>
          <t>短视频🔗</t>
        </is>
      </c>
      <c r="F1" s="1" t="inlineStr">
        <is>
          <t>短视频链接内容</t>
        </is>
      </c>
      <c r="G1" s="1" t="inlineStr">
        <is>
          <t>直播🔗</t>
        </is>
      </c>
      <c r="H1" s="1" t="inlineStr">
        <is>
          <t>直播连接内容</t>
        </is>
      </c>
      <c r="I1" s="1" t="inlineStr">
        <is>
          <t>店铺</t>
        </is>
      </c>
      <c r="J1" s="1" t="inlineStr">
        <is>
          <t>在售状态🛒</t>
        </is>
      </c>
      <c r="K1" s="1" t="inlineStr">
        <is>
          <t>产品材质</t>
        </is>
      </c>
      <c r="L1" s="1" t="inlineStr">
        <is>
          <t>产品规格</t>
        </is>
      </c>
      <c r="M1" s="1" t="inlineStr">
        <is>
          <t>商家编码</t>
        </is>
      </c>
      <c r="N1" s="1" t="inlineStr">
        <is>
          <t>尺寸/保质期</t>
        </is>
      </c>
      <c r="O1" s="1" t="inlineStr">
        <is>
          <t>产品重量（kg）</t>
        </is>
      </c>
      <c r="P1" s="1" t="inlineStr">
        <is>
          <t>售后政策</t>
        </is>
      </c>
      <c r="Q1" s="1" t="inlineStr">
        <is>
          <t>赠品</t>
        </is>
      </c>
      <c r="R1" s="1" t="inlineStr">
        <is>
          <t>产品卖点🔥</t>
        </is>
      </c>
      <c r="S1" s="1" t="inlineStr">
        <is>
          <t>产品简介</t>
        </is>
      </c>
      <c r="T1" s="1" t="inlineStr">
        <is>
          <t>使用方法</t>
        </is>
      </c>
      <c r="U1" s="1" t="inlineStr">
        <is>
          <t>系列图/视频</t>
        </is>
      </c>
      <c r="V1" s="1" t="inlineStr">
        <is>
          <t>合格证</t>
        </is>
      </c>
      <c r="W1" s="1" t="inlineStr">
        <is>
          <t>质检报告</t>
        </is>
      </c>
      <c r="X1" s="1" t="inlineStr">
        <is>
          <t>EXECL文档</t>
        </is>
      </c>
      <c r="Y1" s="1" t="inlineStr">
        <is>
          <t>厂家发货群</t>
        </is>
      </c>
      <c r="Z1" s="1" t="inlineStr">
        <is>
          <t>父记录</t>
        </is>
      </c>
      <c r="AA1" s="1" t="inlineStr">
        <is>
          <t>父记录 (1)</t>
        </is>
      </c>
    </row>
    <row r="2" ht="25.5" customHeight="1">
      <c r="A2">
        <v>1</v>
      </c>
      <c r="B2" t="inlineStr">
        <is>
          <t>健身弹力带</t>
        </is>
      </c>
      <c r="C2" t="inlineStr">
        <is>
          <t>健身弹力带1.jpg,健身弹力带2.jpg</t>
        </is>
      </c>
      <c r="D2">
        <v>29.9</v>
      </c>
      <c r="E2" s="2" t="str">
        <f>=HYPERLINK("https://haohuo.jinritemai.com/ecommerce/trade/detail/index.html?id=3807173671995441391&amp;origin_type=604", "速力达")</f>
        <v>速力达</v>
      </c>
      <c r="F2" t="inlineStr">
        <is>
          <t>https://haohuo.jinritemai.com/ecommerce/trade/detail/index.html?id=3807173671995441391&amp;origin_type=604</t>
        </is>
      </c>
      <c r="G2" s="2"/>
      <c r="H2"/>
      <c r="I2"/>
      <c r="J2" t="inlineStr">
        <is>
          <t>🟢已上架</t>
        </is>
      </c>
      <c r="K2" t="inlineStr">
        <is>
          <t>TPE软胶</t>
        </is>
      </c>
      <c r="L2" t="inlineStr">
        <is>
          <t>黄色, 红色, 黑色, 紫色, 绿色, 蓝色, 橙色, 灰色</t>
        </is>
      </c>
      <c r="M2" t="inlineStr">
        <is>
          <t>D14</t>
        </is>
      </c>
      <c r="N2" t="inlineStr">
        <is>
          <t>长2080mm
厚4mm
宽可供选择</t>
        </is>
      </c>
      <c r="O2" t="inlineStr">
        <is>
          <t>0.048</t>
        </is>
      </c>
      <c r="P2"/>
      <c r="Q2"/>
      <c r="R2" t="inlineStr">
        <is>
          <t>1：优质环保材质，安全耐用
2：功能全面，一器多用
3：多档位阻力，适配全人群
4：设计人性化，收纳便携</t>
        </is>
      </c>
      <c r="S2" t="inlineStr">
        <is>
          <t>可实现全身肌群训练，涵盖手臂、胸部、臀部、大腿、胫骨前肌、小腿等部位，支持深蹲、侧平举、硬拉、卷腹等多种训练方式，兼具减脂增肌、增强体能、康复训练、塑形修身等作用，既能打造男性肌肉线条，也能塑造女性优雅曲线</t>
        </is>
      </c>
      <c r="T2" t="inlineStr">
        <is>
          <t>使用方法：
1. 发力匀速缓慢：拉伸/发力时避免突然猛拉、猛松，保持动作匀速，感受目标肌群发力，既提升训练效果，又防止弹力带回弹伤人。
2. 保持身体稳定：做深蹲、硬拉、平举等动作时，背部挺直，核心收紧，避免弯腰、含胸，防止腰部、颈椎受力不当受损。
3. 合理控制训练强度：单次训练时间建议30-60分钟，同一肌群避免连续高强度训练，每组动作间隔30-60秒，根据自身体能调整组数（新手3-4组，每组10-15次）。
4. 组合使用需固定牢固：普拉提棒与弹力带连接时，确保弹力带牢牢卡在装饰环内，训练中若发现松动，立即停止调整，切勿边练边调。
5. 避免过度拉伸：弹力带拉伸幅度控制在自身可承受范围，切勿拉至极限（建议最大拉伸幅度不超过原长的3倍），防止拉断。</t>
        </is>
      </c>
      <c r="U2" t="inlineStr">
        <is>
          <t>健身弹力带1.png,健身弹力带2.png,健身弹力带拉力器1.jpg</t>
        </is>
      </c>
      <c r="V2" t="inlineStr">
        <is>
          <t>数字弹力带合格证.jpg</t>
        </is>
      </c>
      <c r="W2"/>
      <c r="X2"/>
      <c r="Y2" t="inlineStr">
        <is>
          <t>刘学生025呼啦圈轴32蹬-9818</t>
        </is>
      </c>
      <c r="Z2"/>
      <c r="AA2"/>
    </row>
    <row r="3" ht="25.5" customHeight="1">
      <c r="A3">
        <v>2</v>
      </c>
      <c r="B3" t="inlineStr">
        <is>
          <t>筋膜球</t>
        </is>
      </c>
      <c r="C3" t="inlineStr">
        <is>
          <t>筋膜球1.png</t>
        </is>
      </c>
      <c r="D3">
        <v>39.9</v>
      </c>
      <c r="E3" s="2" t="str">
        <f>=HYPERLINK("https://haohuo.jinritemai.com/ecommerce/trade/detail/index.html?id=3781738682302726378&amp;origin_type=604", "速力达")</f>
        <v>速力达</v>
      </c>
      <c r="F3" t="inlineStr">
        <is>
          <t>https://haohuo.jinritemai.com/ecommerce/trade/detail/index.html?id=3781738682302726378&amp;origin_type=604</t>
        </is>
      </c>
      <c r="G3" s="2"/>
      <c r="H3"/>
      <c r="I3"/>
      <c r="J3" t="inlineStr">
        <is>
          <t>🟢已上架</t>
        </is>
      </c>
      <c r="K3"/>
      <c r="L3"/>
      <c r="M3"/>
      <c r="N3"/>
      <c r="O3"/>
      <c r="P3"/>
      <c r="Q3"/>
      <c r="R3"/>
      <c r="S3"/>
      <c r="T3"/>
      <c r="U3"/>
      <c r="V3"/>
      <c r="W3"/>
      <c r="X3"/>
      <c r="Y3"/>
      <c r="Z3"/>
      <c r="AA3"/>
    </row>
    <row r="4" ht="25.5" customHeight="1">
      <c r="A4">
        <v>3</v>
      </c>
      <c r="B4" t="inlineStr">
        <is>
          <t>指压板拖鞋</t>
        </is>
      </c>
      <c r="C4" t="inlineStr">
        <is>
          <t>指压板拖鞋1.jpg</t>
        </is>
      </c>
      <c r="D4">
        <v>69.9</v>
      </c>
      <c r="E4" s="2" t="str">
        <f>=HYPERLINK("https://haohuo.jinritemai.com/ecommerce/trade/detail/index.html?id=3763028870572408965&amp;origin_type=604", "速力达")</f>
        <v>速力达</v>
      </c>
      <c r="F4" t="inlineStr">
        <is>
          <t>https://haohuo.jinritemai.com/ecommerce/trade/detail/index.html?id=3763028870572408965&amp;origin_type=604</t>
        </is>
      </c>
      <c r="G4" s="2" t="str">
        <f>=HYPERLINK("https://haohuo.jinritemai.com/ecommerce/trade/detail/index.html?id=3796785722300694992&amp;origin_type=604", "速力达")</f>
        <v>速力达</v>
      </c>
      <c r="H4" t="inlineStr">
        <is>
          <t>https://haohuo.jinritemai.com/ecommerce/trade/detail/index.html?id=3796785722300694992&amp;origin_type=604</t>
        </is>
      </c>
      <c r="I4"/>
      <c r="J4" t="inlineStr">
        <is>
          <t>🟢已上架</t>
        </is>
      </c>
      <c r="K4" t="inlineStr">
        <is>
          <t>EVA泡棉, pp</t>
        </is>
      </c>
      <c r="L4" t="inlineStr">
        <is>
          <t>黑粉, 白粉, 粉粉, 卡棕, 米黄白, 白黑</t>
        </is>
      </c>
      <c r="M4"/>
      <c r="N4" t="inlineStr">
        <is>
          <t>（长宽高）
36码：25*11.5*9 
37码：25.5*11.5*9
38码：26.5*11.8*9.5
39码：27*12*9.5 
40码：27.5*12*9.5 
41码：29*12.5*10 
42码：29.5*12.8*10.5
43码：30*13*10.5
44码：31*13.5*11
45码：31.5*13.5*11</t>
        </is>
      </c>
      <c r="O4" t="inlineStr">
        <is>
          <t>重量（克）
36：370
37：390
38：400
39：410
40：440
41：475
42：410
43：530
44：545
45：560</t>
        </is>
      </c>
      <c r="P4"/>
      <c r="Q4"/>
      <c r="R4"/>
      <c r="S4"/>
      <c r="T4"/>
      <c r="U4"/>
      <c r="V4" t="inlineStr">
        <is>
          <t>指压板拖鞋合格证.jpg</t>
        </is>
      </c>
      <c r="W4" t="inlineStr">
        <is>
          <t>老款指压板拖鞋-质检报告.jpg,老款指压板拖鞋-质检报告2.jpg</t>
        </is>
      </c>
      <c r="X4"/>
      <c r="Y4" t="inlineStr">
        <is>
          <t>指压板拖鞋</t>
        </is>
      </c>
      <c r="Z4"/>
      <c r="AA4"/>
    </row>
    <row r="5" ht="25.5" customHeight="1">
      <c r="A5">
        <v>4</v>
      </c>
      <c r="B5" t="inlineStr">
        <is>
          <t>穴位袜</t>
        </is>
      </c>
      <c r="C5" t="inlineStr">
        <is>
          <t>穴位袜1.png</t>
        </is>
      </c>
      <c r="D5">
        <v>19.9</v>
      </c>
      <c r="E5" s="2" t="str">
        <f>=HYPERLINK("https://haohuo.jinritemai.com/ecommerce/trade/detail/index.html?id=3798481216391479511&amp;origin_type=604", "速利达")</f>
        <v>速利达</v>
      </c>
      <c r="F5" t="inlineStr">
        <is>
          <t>https://haohuo.jinritemai.com/ecommerce/trade/detail/index.html?id=3798481216391479511&amp;origin_type=604</t>
        </is>
      </c>
      <c r="G5" s="2"/>
      <c r="H5"/>
      <c r="I5"/>
      <c r="J5" t="inlineStr">
        <is>
          <t>🟢已上架</t>
        </is>
      </c>
      <c r="K5"/>
      <c r="L5"/>
      <c r="M5"/>
      <c r="N5"/>
      <c r="O5"/>
      <c r="P5"/>
      <c r="Q5"/>
      <c r="R5"/>
      <c r="S5"/>
      <c r="T5"/>
      <c r="U5"/>
      <c r="V5"/>
      <c r="W5"/>
      <c r="X5"/>
      <c r="Y5"/>
      <c r="Z5"/>
      <c r="AA5"/>
    </row>
    <row r="6" ht="25.5" customHeight="1">
      <c r="A6">
        <v>5</v>
      </c>
      <c r="B6" t="inlineStr">
        <is>
          <t>呼啦圈延长节</t>
        </is>
      </c>
      <c r="C6" t="inlineStr">
        <is>
          <t>呼啦圈延长节1.png</t>
        </is>
      </c>
      <c r="D6">
        <v>10</v>
      </c>
      <c r="E6" s="2" t="str">
        <f>=HYPERLINK("https://haohuo.jinritemai.com/ecommerce/trade/detail/index.html?id=3753823153894326481&amp;origin_type=604", "速力达")</f>
        <v>速力达</v>
      </c>
      <c r="F6" t="inlineStr">
        <is>
          <t>https://haohuo.jinritemai.com/ecommerce/trade/detail/index.html?id=3753823153894326481&amp;origin_type=604</t>
        </is>
      </c>
      <c r="G6" s="2"/>
      <c r="H6"/>
      <c r="I6"/>
      <c r="J6" t="inlineStr">
        <is>
          <t>🟢已上架</t>
        </is>
      </c>
      <c r="K6"/>
      <c r="L6"/>
      <c r="M6" t="inlineStr">
        <is>
          <t>B-38配件</t>
        </is>
      </c>
      <c r="N6"/>
      <c r="O6"/>
      <c r="P6"/>
      <c r="Q6"/>
      <c r="R6"/>
      <c r="S6"/>
      <c r="T6"/>
      <c r="U6"/>
      <c r="V6"/>
      <c r="W6"/>
      <c r="X6"/>
      <c r="Y6" t="inlineStr">
        <is>
          <t>刘学生025呼啦圈轴32蹬-9818</t>
        </is>
      </c>
      <c r="Z6"/>
      <c r="AA6"/>
    </row>
    <row r="7" ht="25.5" customHeight="1">
      <c r="A7">
        <v>6</v>
      </c>
      <c r="B7" t="inlineStr">
        <is>
          <t>猫爪足底按摩器</t>
        </is>
      </c>
      <c r="C7" t="inlineStr">
        <is>
          <t>猫爪足底按摩器1.jpg</t>
        </is>
      </c>
      <c r="D7">
        <v>29.9</v>
      </c>
      <c r="E7" s="2" t="str">
        <f>=HYPERLINK("https://haohuo.jinritemai.com/ecommerce/trade/detail/index.html?id=3751391547153842344&amp;origin_type=604", "速力达")</f>
        <v>速力达</v>
      </c>
      <c r="F7" t="inlineStr">
        <is>
          <t>https://haohuo.jinritemai.com/ecommerce/trade/detail/index.html?id=3751391547153842344&amp;origin_type=604</t>
        </is>
      </c>
      <c r="G7" s="2"/>
      <c r="H7"/>
      <c r="I7"/>
      <c r="J7" t="inlineStr">
        <is>
          <t>🟢已上架</t>
        </is>
      </c>
      <c r="K7"/>
      <c r="L7" t="inlineStr">
        <is>
          <t>紫色, 橙色, 绿色</t>
        </is>
      </c>
      <c r="M7"/>
      <c r="N7"/>
      <c r="O7"/>
      <c r="P7"/>
      <c r="Q7"/>
      <c r="R7"/>
      <c r="S7"/>
      <c r="T7"/>
      <c r="U7" t="inlineStr">
        <is>
          <t>猫爪足底按摩器1.jpg</t>
        </is>
      </c>
      <c r="V7"/>
      <c r="W7"/>
      <c r="X7"/>
      <c r="Y7" t="inlineStr">
        <is>
          <t>9818好物家居群</t>
        </is>
      </c>
      <c r="Z7"/>
      <c r="AA7"/>
    </row>
    <row r="8" ht="25.5" customHeight="1">
      <c r="A8">
        <v>7</v>
      </c>
      <c r="B8" t="inlineStr">
        <is>
          <t>16轮足底按摩滚轮</t>
        </is>
      </c>
      <c r="C8" t="inlineStr">
        <is>
          <t>16轮足底按摩滚轮1.png,16轮足底按摩滚轮2.jpg</t>
        </is>
      </c>
      <c r="D8">
        <v>39.9</v>
      </c>
      <c r="E8" s="2" t="str">
        <f>=HYPERLINK("https://www.xiaohongshu.com/goods-detail/69e71fca52316e0001120b72?t=1776755511611&amp;xsec_token=ABk4_BylaY3y3pikq6xZU7JKjnoYyyLJR9gaSlD1FKcAk%3D&amp;xsec_source=pc_arkselfshare", "坦彦")</f>
        <v>坦彦</v>
      </c>
      <c r="F8" t="inlineStr">
        <is>
          <t>https://www.xiaohongshu.com/goods-detail/69e71fca52316e0001120b72?t=1776755511611&amp;xsec_token=ABk4_BylaY3y3pikq6xZU7JKjnoYyyLJR9gaSlD1FKcAk%3D&amp;xsec_source=pc_arkselfshare</t>
        </is>
      </c>
      <c r="G8" s="2"/>
      <c r="H8"/>
      <c r="I8"/>
      <c r="J8" t="inlineStr">
        <is>
          <t>⚫已下架</t>
        </is>
      </c>
      <c r="K8" t="inlineStr">
        <is>
          <t>ABS, EVA泡棉</t>
        </is>
      </c>
      <c r="L8" t="inlineStr">
        <is>
          <t>粉色, 紫色, 灰色</t>
        </is>
      </c>
      <c r="M8"/>
      <c r="N8" t="inlineStr">
        <is>
          <t>33*14*4.2cm</t>
        </is>
      </c>
      <c r="O8"/>
      <c r="P8"/>
      <c r="Q8"/>
      <c r="R8" t="inlineStr">
        <is>
          <t>1.软胶滚轮搭配 3D 按压浮点，针对足底穴位按摩，酸爽不刺痛，仿真人按压滚揉双效舒缓
2.含八颗磁珠，贴合足底穴位深层舒缓，改善腿脚酸胀、双脚冰冷等问题
3.滚轮转动灵活、力度可调节，适配不同脚型，双脚大面积按摩更舒适</t>
        </is>
      </c>
      <c r="S8" t="inlineStr">
        <is>
          <t>ABS+EVA 材质搭配 3D 浮点 + 八颗磁珠，精准按足底穴位，酸爽不刺痛，力度可调节适配各种脚型～扁平薄款易收纳，居家十分钟轻松做足疗，舒缓腿脚酸胀助睡眠</t>
        </is>
      </c>
      <c r="T8" t="inlineStr">
        <is>
          <t>将按摩器平铺，光脚踩于滚轮上，前后缓慢移动双脚，利用滚轮滚动按摩足底，可根据自身感受调整移动速度和力度，每日按需使用</t>
        </is>
      </c>
      <c r="U8" t="inlineStr">
        <is>
          <t>16轮足底按摩滚轮1.jpg</t>
        </is>
      </c>
      <c r="V8"/>
      <c r="W8"/>
      <c r="X8"/>
      <c r="Y8" t="inlineStr">
        <is>
          <t>爱喜-孙教练代发</t>
        </is>
      </c>
      <c r="Z8"/>
      <c r="AA8"/>
    </row>
    <row r="9" ht="25.5" customHeight="1">
      <c r="A9">
        <v>8</v>
      </c>
      <c r="B9" t="inlineStr">
        <is>
          <t>八爪鱼 瑜伽球</t>
        </is>
      </c>
      <c r="C9" t="inlineStr">
        <is>
          <t>八爪鱼 瑜伽球1.png</t>
        </is>
      </c>
      <c r="D9">
        <v>19.9</v>
      </c>
      <c r="E9" s="2" t="str">
        <f>=HYPERLINK("https://haohuo.jinritemai.com/ecommerce/trade/detail/index.html?id=3773795413094695379&amp;origin_type=604", "速力达")</f>
        <v>速力达</v>
      </c>
      <c r="F9" t="inlineStr">
        <is>
          <t>https://haohuo.jinritemai.com/ecommerce/trade/detail/index.html?id=3773795413094695379&amp;origin_type=604</t>
        </is>
      </c>
      <c r="G9" s="2"/>
      <c r="H9"/>
      <c r="I9"/>
      <c r="J9" t="inlineStr">
        <is>
          <t>🟢已上架</t>
        </is>
      </c>
      <c r="K9" t="inlineStr">
        <is>
          <t>PVC</t>
        </is>
      </c>
      <c r="L9"/>
      <c r="M9"/>
      <c r="N9" t="inlineStr">
        <is>
          <t>20CM</t>
        </is>
      </c>
      <c r="O9"/>
      <c r="P9"/>
      <c r="Q9" t="inlineStr">
        <is>
          <t>气塞+吹气管</t>
        </is>
      </c>
      <c r="R9"/>
      <c r="S9"/>
      <c r="T9"/>
      <c r="U9"/>
      <c r="V9"/>
      <c r="W9"/>
      <c r="X9"/>
      <c r="Y9" t="inlineStr">
        <is>
          <t>普拉提圈方形.59指压板26轮知文</t>
        </is>
      </c>
      <c r="Z9"/>
      <c r="AA9"/>
    </row>
    <row r="10" ht="25.5" customHeight="1">
      <c r="A10">
        <v>9</v>
      </c>
      <c r="B10" t="inlineStr">
        <is>
          <t>TPE瑜伽垫</t>
        </is>
      </c>
      <c r="C10" t="inlineStr">
        <is>
          <t>TPE瑜伽垫1.png</t>
        </is>
      </c>
      <c r="D10">
        <v>79</v>
      </c>
      <c r="E10" s="2" t="str">
        <f>=HYPERLINK("https://haohuo.jinritemai.com/ecommerce/trade/detail/index.html?id=3800172488688795952&amp;origin_type=604", "速力达")</f>
        <v>速力达</v>
      </c>
      <c r="F10" t="inlineStr">
        <is>
          <t>https://haohuo.jinritemai.com/ecommerce/trade/detail/index.html?id=3800172488688795952&amp;origin_type=604</t>
        </is>
      </c>
      <c r="G10" s="2"/>
      <c r="H10"/>
      <c r="I10"/>
      <c r="J10" t="inlineStr">
        <is>
          <t>🟢已上架</t>
        </is>
      </c>
      <c r="K10" t="inlineStr">
        <is>
          <t>TPE软胶</t>
        </is>
      </c>
      <c r="L10" t="inlineStr">
        <is>
          <t>粉色, 绿色, 蓝色, 紫色</t>
        </is>
      </c>
      <c r="M10" t="inlineStr">
        <is>
          <t>成品-内销瑜伽垫【粉色】80*6三件套【体位线】
成品-内销瑜伽垫【灰色】80*6三件套【体位线】
成品-内销瑜伽垫【蓝色】80*6三件套【体位线】
成品-内销瑜伽垫【绿色】80*6三件套【体位线】
成品-内销瑜伽垫【紫色】80*6三件套【体位线】
成品-内销瑜伽垫【粉色】80*8三件套【体位线】
成品-内销瑜伽垫【灰色】80*8三件套【体位线】
成品-内销瑜伽垫【蓝色】80*8三件套【体位线】
成品-内销瑜伽垫【绿色】80*8三件套【体位线】
成品-内销瑜伽垫【紫色】80*8三件套【体位线】
成品-内销瑜伽垫【粉色】80*10三件套【体位线】
成品-内销瑜伽垫【灰色】80*10三件套【体位线】
成品-内销瑜伽垫【蓝色】80*10三件套【体位线】
成品-内销瑜伽垫【绿色】80*10三件套【体位线】
成品-内销瑜伽垫【紫色】80*10三件套【体位线】</t>
        </is>
      </c>
      <c r="N10" t="inlineStr">
        <is>
          <t>185cm*80cm*6mm
185cm*80cm*8mm
185cm*80cm*10mm</t>
        </is>
      </c>
      <c r="O10" t="inlineStr">
        <is>
          <t>1kg
1.4kg
1.7kg</t>
        </is>
      </c>
      <c r="P10"/>
      <c r="Q10"/>
      <c r="R10" t="inlineStr">
        <is>
          <t>1：双面防滑减震，环保无异味易清洗
2：高密度TP耐磨，长久耐用</t>
        </is>
      </c>
      <c r="S10" t="inlineStr">
        <is>
          <t>这款瑜伽垫双面防滑减震，环保材质无异味，易擦易洗更卫生。高密度 TP 材质耐磨耐用，回弹力好，有效缓冲护关节，运动更稳更安全。居家健身、瑜伽练习都适用，给你舒适安心的运动体验。</t>
        </is>
      </c>
      <c r="T10" t="inlineStr">
        <is>
          <t xml:space="preserve">1. 展开瑜伽垫，防滑面朝上，平整铺在地面，四周无卷曲
2. 运动前擦干手脚汗水，避免打滑，练习时重心落在垫面中央
3. 用完用湿布擦拭晾干，勿暴晒、勿尖锐物品划伤
4. 可卷放收纳，保持垫面干净，延长使用寿命
 </t>
        </is>
      </c>
      <c r="U10" t="inlineStr">
        <is>
          <t>TPE瑜伽垫1.pdf,TPE瑜伽垫2.png,TPE瑜伽垫3.jpg</t>
        </is>
      </c>
      <c r="V10" t="inlineStr">
        <is>
          <t>TPE瑜伽垫1.jpg</t>
        </is>
      </c>
      <c r="W10" t="inlineStr">
        <is>
          <t>TPE瑜伽垫1.pdf</t>
        </is>
      </c>
      <c r="X10" t="inlineStr">
        <is>
          <t>瑜伽垫商家编码.xlsx</t>
        </is>
      </c>
      <c r="Y10" t="inlineStr">
        <is>
          <t>新瑜伽垫</t>
        </is>
      </c>
      <c r="Z10"/>
      <c r="AA10"/>
    </row>
    <row r="11" ht="25.5" customHeight="1">
      <c r="A11">
        <v>10</v>
      </c>
      <c r="B11" t="inlineStr">
        <is>
          <t>艾草加长款护膝</t>
        </is>
      </c>
      <c r="C11" t="inlineStr">
        <is>
          <t>艾草加长款护膝1.jpg,艾草加长款护膝2.jpg</t>
        </is>
      </c>
      <c r="D11">
        <v>29.9</v>
      </c>
      <c r="E11" s="2"/>
      <c r="F11"/>
      <c r="G11" s="2" t="str">
        <f>=HYPERLINK("https://haohuo.jinritemai.com/ecommerce/trade/detail/index.html?id=3791445263319695406&amp;origin_type=604", "速力达")</f>
        <v>速力达</v>
      </c>
      <c r="H11" t="inlineStr">
        <is>
          <t>https://haohuo.jinritemai.com/ecommerce/trade/detail/index.html?id=3791445263319695406&amp;origin_type=604</t>
        </is>
      </c>
      <c r="I11"/>
      <c r="J11" t="inlineStr">
        <is>
          <t>🟢已上架</t>
        </is>
      </c>
      <c r="K11"/>
      <c r="L11" t="inlineStr">
        <is>
          <t>加长护膝经典黑色(一对装), 加长护膝青春绿色（一对装), 加长护膝热烈橙色（一对装）</t>
        </is>
      </c>
      <c r="M11"/>
      <c r="N11" t="inlineStr">
        <is>
          <t>长度：45cm
均码:≤90kg</t>
        </is>
      </c>
      <c r="O11"/>
      <c r="P11"/>
      <c r="Q11"/>
      <c r="R11" t="inlineStr">
        <is>
          <t>1.双层加压设计，增强稳定性可自由调节松紧
2.亲肤透气面料 3D立体编制 柔软舒适
3.加固绑带 固定更防滑 四面弹力不紧绷
4.机械化锁边设计 自由调节加压固定</t>
        </is>
      </c>
      <c r="S11" t="inlineStr">
        <is>
          <t>这款艾草护膝专为男女士设计，可有效保暖关节，尤其适合老寒腿及老年人使用。呵护关节 ，舒适耐用</t>
        </is>
      </c>
      <c r="T11" t="inlineStr">
        <is>
          <t>亲亲，将产品穿戴过膝大约与图形一致 再将加压绑带拉紧到稍微有束缚感贴紧就可以的哦~</t>
        </is>
      </c>
      <c r="U11" t="inlineStr">
        <is>
          <t>艾草加长款护膝1.png</t>
        </is>
      </c>
      <c r="V11"/>
      <c r="W11"/>
      <c r="X11"/>
      <c r="Y11" t="inlineStr">
        <is>
          <t>9818好物家居群</t>
        </is>
      </c>
      <c r="Z11"/>
      <c r="AA11"/>
    </row>
    <row r="12" ht="25.5" customHeight="1">
      <c r="A12">
        <v>11</v>
      </c>
      <c r="B12" t="inlineStr">
        <is>
          <t>经络拍打锤</t>
        </is>
      </c>
      <c r="C12" t="inlineStr">
        <is>
          <t>经络拍打锤1.png,甄选经络拍打锤,孙瑞芬专属经络拍经络拍1.jpg,甄选经络拍打锤,孙瑞芬专属经络拍经络拍2.jpg</t>
        </is>
      </c>
      <c r="D12">
        <v>39.9</v>
      </c>
      <c r="E12" s="2" t="str">
        <f>=HYPERLINK("https://www.xiaohongshu.com/goods-detail/683062b3d6eee700018a45bc?t=1769325231742&amp;xsec_token=ABmdFQqyVnJRecc-qD7cRwbGrCs7j5NI8_yMN4cg1nV2A%3D&amp;xsec_source=pc_arkselfshare", "坦彦")</f>
        <v>坦彦</v>
      </c>
      <c r="F12" t="inlineStr">
        <is>
          <t>https://www.xiaohongshu.com/goods-detail/683062b3d6eee700018a45bc?t=1769325231742&amp;xsec_token=ABmdFQqyVnJRecc-qD7cRwbGrCs7j5NI8_yMN4cg1nV2A%3D&amp;xsec_source=pc_arkselfshare</t>
        </is>
      </c>
      <c r="G12" s="2"/>
      <c r="H12"/>
      <c r="I12"/>
      <c r="J12" t="inlineStr">
        <is>
          <t>🟢已上架</t>
        </is>
      </c>
      <c r="K12"/>
      <c r="L12"/>
      <c r="M12"/>
      <c r="N12"/>
      <c r="O12"/>
      <c r="P12"/>
      <c r="Q12"/>
      <c r="R12" t="inlineStr">
        <is>
          <t>1.柔软加大锤头有弹性 更服帖
2.水晶绒面料.回弹内胆
3.不怕弯曲 缓冲力强耐用折不断</t>
        </is>
      </c>
      <c r="S12"/>
      <c r="T12" t="inlineStr">
        <is>
          <t>外表采用舒适天鹅绒材质，柔软亲肤，耐摩擦不起球，内里采用环保TPU材质，缓冲力强。全身多个部位又可以用它来拍打放松。可以用来拍肩颈、拍腰背、拍心经、拍胆经等。</t>
        </is>
      </c>
      <c r="U12" t="inlineStr">
        <is>
          <t>经络拍打锤1.png,经络拍打锤2.png,甄选经络拍打锤,孙瑞芬专属经络拍经络拍1.jpg</t>
        </is>
      </c>
      <c r="V12"/>
      <c r="W12"/>
      <c r="X12"/>
      <c r="Y12"/>
      <c r="Z12"/>
      <c r="AA12"/>
    </row>
    <row r="13" ht="25.5" customHeight="1">
      <c r="A13">
        <v>12</v>
      </c>
      <c r="B13" t="inlineStr">
        <is>
          <t>8轴32轮滚轴按摩器</t>
        </is>
      </c>
      <c r="C13" t="inlineStr">
        <is>
          <t>8轴32轮滚轴按摩器1.jpg,8轴32轮滚轴按摩器2.jpg</t>
        </is>
      </c>
      <c r="D13">
        <v>39.9</v>
      </c>
      <c r="E13" s="2" t="str">
        <f>=HYPERLINK("https://haohuo.jinritemai.com/ecommerce/trade/detail/index.html?id=3755053674817257877&amp;origin_type=604", "速力达")</f>
        <v>速力达</v>
      </c>
      <c r="F13" t="inlineStr">
        <is>
          <t>https://haohuo.jinritemai.com/ecommerce/trade/detail/index.html?id=3755053674817257877&amp;origin_type=604</t>
        </is>
      </c>
      <c r="G13" s="2"/>
      <c r="H13"/>
      <c r="I13"/>
      <c r="J13" t="inlineStr">
        <is>
          <t>⚫已下架</t>
        </is>
      </c>
      <c r="K13" t="inlineStr">
        <is>
          <t>TPR, pp</t>
        </is>
      </c>
      <c r="L13" t="inlineStr">
        <is>
          <t>粉色, 紫色, 蓝色</t>
        </is>
      </c>
      <c r="M13"/>
      <c r="N13" t="inlineStr">
        <is>
          <t>425*150mm</t>
        </is>
      </c>
      <c r="O13"/>
      <c r="P13"/>
      <c r="Q13"/>
      <c r="R13" t="inlineStr">
        <is>
          <t>1.深层筋膜按摩 酸痛不过夜
2.3D浮点按压 从脚尖到脚跟
3.滚轮美腿塑形 替代谢按加速键
4.全身按摩 一件搞定</t>
        </is>
      </c>
      <c r="S13" t="inlineStr">
        <is>
          <t>这款多功能按摩神器，精准戳中全身放松需求！深层筋膜按摩直击酸痛根源，让不适感过夜即消；3D 浮点设计贴合曲线，从脚尖到脚跟全覆盖按压超到位；滚轮滚动助力美腿塑形，还能加速代谢循环；肩颈、腰背、腿部等多部位适配，一件就能搞定全家日常按摩，居家、办公、运动后用都超方便，轻松解锁专业级放松体验～</t>
        </is>
      </c>
      <c r="T13"/>
      <c r="U13" t="inlineStr">
        <is>
          <t>8轴32轮滚轴按摩器1.jpg</t>
        </is>
      </c>
      <c r="V13"/>
      <c r="W13"/>
      <c r="X13"/>
      <c r="Y13" t="inlineStr">
        <is>
          <t>刘学生025呼啦圈轴32蹬-9818</t>
        </is>
      </c>
      <c r="Z13"/>
      <c r="AA13"/>
    </row>
    <row r="14" ht="25.5" customHeight="1">
      <c r="A14">
        <v>13</v>
      </c>
      <c r="B14" t="inlineStr">
        <is>
          <t>足弓训练器</t>
        </is>
      </c>
      <c r="C14" t="inlineStr">
        <is>
          <t>足弓训练器1.jpg,足弓训练器1.png,足弓训练器2.jpg</t>
        </is>
      </c>
      <c r="D14">
        <v>19.9</v>
      </c>
      <c r="E14" s="2" t="str">
        <f>=HYPERLINK("https://haohuo.jinritemai.com/ecommerce/trade/detail/index.html?id=3761545182743495389&amp;origin_type=604", "速力达")</f>
        <v>速力达</v>
      </c>
      <c r="F14" t="inlineStr">
        <is>
          <t>https://haohuo.jinritemai.com/ecommerce/trade/detail/index.html?id=3761545182743495389&amp;origin_type=604</t>
        </is>
      </c>
      <c r="G14" s="2"/>
      <c r="H14"/>
      <c r="I14"/>
      <c r="J14" t="inlineStr">
        <is>
          <t>🟢已上架</t>
        </is>
      </c>
      <c r="K14" t="inlineStr">
        <is>
          <t>TPR</t>
        </is>
      </c>
      <c r="L14" t="inlineStr">
        <is>
          <t>粉色, 蓝色, 紫色</t>
        </is>
      </c>
      <c r="M14"/>
      <c r="N14" t="inlineStr">
        <is>
          <t>10.2*9*6cm</t>
        </is>
      </c>
      <c r="O14" t="inlineStr">
        <is>
          <t>235g/对</t>
        </is>
      </c>
      <c r="P14"/>
      <c r="Q14"/>
      <c r="R14"/>
      <c r="S14"/>
      <c r="T14"/>
      <c r="U14" t="inlineStr">
        <is>
          <t>足弓.mp4,足弓教程.mp4,image.png</t>
        </is>
      </c>
      <c r="V14" t="inlineStr">
        <is>
          <t>足弓训练器合格证.jpg</t>
        </is>
      </c>
      <c r="W14"/>
      <c r="X14"/>
      <c r="Y14" t="inlineStr">
        <is>
          <t>普拉提圈方形.59指压板26轮知文</t>
        </is>
      </c>
      <c r="Z14"/>
      <c r="AA14"/>
    </row>
    <row r="15" ht="25.5" customHeight="1">
      <c r="A15">
        <v>14</v>
      </c>
      <c r="B15" t="inlineStr">
        <is>
          <t>奇亚籽</t>
        </is>
      </c>
      <c r="C15" t="inlineStr">
        <is>
          <t>奇亚籽1.jpg</t>
        </is>
      </c>
      <c r="D15">
        <v>29.9</v>
      </c>
      <c r="E15" s="2" t="str">
        <f>=HYPERLINK("https://haohuo.jinritemai.com/ecommerce/trade/detail/index.html?id=3763022481976328584&amp;origin_type=604", "速力达")</f>
        <v>速力达</v>
      </c>
      <c r="F15" t="inlineStr">
        <is>
          <t>https://haohuo.jinritemai.com/ecommerce/trade/detail/index.html?id=3763022481976328584&amp;origin_type=604</t>
        </is>
      </c>
      <c r="G15" s="2"/>
      <c r="H15"/>
      <c r="I15"/>
      <c r="J15" t="inlineStr">
        <is>
          <t>⚫已下架</t>
        </is>
      </c>
      <c r="K15"/>
      <c r="L15"/>
      <c r="M15"/>
      <c r="N15"/>
      <c r="O15"/>
      <c r="P15"/>
      <c r="Q15"/>
      <c r="R15"/>
      <c r="S15"/>
      <c r="T15"/>
      <c r="U15"/>
      <c r="V15"/>
      <c r="W15"/>
      <c r="X15"/>
      <c r="Y15"/>
      <c r="Z15"/>
      <c r="AA15"/>
    </row>
    <row r="16" ht="25.5" customHeight="1">
      <c r="A16">
        <v>15</v>
      </c>
      <c r="B16" t="inlineStr">
        <is>
          <t>五指毛桃七味茶</t>
        </is>
      </c>
      <c r="C16" t="inlineStr">
        <is>
          <t>五指毛桃七味茶1.jpg,五指毛桃七味茶2.jpg</t>
        </is>
      </c>
      <c r="D16">
        <v>49.9</v>
      </c>
      <c r="E16" s="2"/>
      <c r="F16"/>
      <c r="G16" s="2"/>
      <c r="H16"/>
      <c r="I16"/>
      <c r="J16" t="inlineStr">
        <is>
          <t>⚫已下架</t>
        </is>
      </c>
      <c r="K16"/>
      <c r="L16" t="inlineStr">
        <is>
          <t>盒</t>
        </is>
      </c>
      <c r="M16"/>
      <c r="N16" t="inlineStr">
        <is>
          <t>15g*10罐</t>
        </is>
      </c>
      <c r="O16" t="inlineStr">
        <is>
          <t>0.150</t>
        </is>
      </c>
      <c r="P16"/>
      <c r="Q16"/>
      <c r="R16"/>
      <c r="S16"/>
      <c r="T16"/>
      <c r="U16" t="inlineStr">
        <is>
          <t>五指毛桃七味茶1.jpg</t>
        </is>
      </c>
      <c r="V16"/>
      <c r="W16"/>
      <c r="X16"/>
      <c r="Y16" t="inlineStr">
        <is>
          <t>2172药济天下1v1服务</t>
        </is>
      </c>
      <c r="Z16"/>
      <c r="AA16"/>
    </row>
    <row r="17" ht="25.5" customHeight="1">
      <c r="A17">
        <v>16</v>
      </c>
      <c r="B17" t="inlineStr">
        <is>
          <t>艾灸热敷贴</t>
        </is>
      </c>
      <c r="C17" t="inlineStr">
        <is>
          <t>艾灸热敷贴1.jpg,艾灸热敷贴2.png</t>
        </is>
      </c>
      <c r="D17">
        <v>25.8</v>
      </c>
      <c r="E17" s="2" t="str">
        <f>=HYPERLINK("https://haohuo.jinritemai.com/ecommerce/trade/detail/index.html?id=3790869127925727439&amp;origin_type=604", "速力达")</f>
        <v>速力达</v>
      </c>
      <c r="F17" t="inlineStr">
        <is>
          <t>https://haohuo.jinritemai.com/ecommerce/trade/detail/index.html?id=3790869127925727439&amp;origin_type=604</t>
        </is>
      </c>
      <c r="G17" s="2"/>
      <c r="H17"/>
      <c r="I17"/>
      <c r="J17" t="inlineStr">
        <is>
          <t>🟢已上架</t>
        </is>
      </c>
      <c r="K17" t="inlineStr">
        <is>
          <t>艾草粉包</t>
        </is>
      </c>
      <c r="L17" t="inlineStr">
        <is>
          <t>10片/盒</t>
        </is>
      </c>
      <c r="M17"/>
      <c r="N17" t="inlineStr">
        <is>
          <t>3年</t>
        </is>
      </c>
      <c r="O17"/>
      <c r="P17"/>
      <c r="Q17"/>
      <c r="R17" t="inlineStr">
        <is>
          <t>1：真材实料，艾效出众，双效叠加，渗透更强
2：长效发热，恒温舒适，安全亲肤全身通用，贴合便捷
3.体积小巧不占空间，居家、办公、出行均可随手携带，随时随地按摩</t>
        </is>
      </c>
      <c r="S17" t="inlineStr">
        <is>
          <t>艾以盈艾灸热敷贴，艾灸 + 热敷双效加持，红外发热技术让艾草精华深层渗透，肩颈腰腿腹全身都能贴，长时间持续发热，无烟无明火超省心</t>
        </is>
      </c>
      <c r="T17"/>
      <c r="U17" t="inlineStr">
        <is>
          <t>艾灸热敷贴1.jpg</t>
        </is>
      </c>
      <c r="V17"/>
      <c r="W17"/>
      <c r="X17"/>
      <c r="Y17" t="inlineStr">
        <is>
          <t>艾以盈，香港大药房南师艾脐散贴</t>
        </is>
      </c>
      <c r="Z17"/>
      <c r="AA17"/>
    </row>
    <row r="18" ht="25.5" customHeight="1">
      <c r="A18">
        <v>17</v>
      </c>
      <c r="B18" t="inlineStr">
        <is>
          <t>肚脐贴</t>
        </is>
      </c>
      <c r="C18" t="inlineStr">
        <is>
          <t>艾脐散1.png</t>
        </is>
      </c>
      <c r="D18">
        <v>29.9</v>
      </c>
      <c r="E18" s="2" t="str">
        <f>=HYPERLINK("https://haohuo.jinritemai.com/ecommerce/trade/detail/index.html?id=3775840929974452469&amp;origin_type=604", "速力达")</f>
        <v>速力达</v>
      </c>
      <c r="F18" t="inlineStr">
        <is>
          <t>https://haohuo.jinritemai.com/ecommerce/trade/detail/index.html?id=3775840929974452469&amp;origin_type=604</t>
        </is>
      </c>
      <c r="G18" s="2"/>
      <c r="H18"/>
      <c r="I18"/>
      <c r="J18" t="inlineStr">
        <is>
          <t>🟢已上架</t>
        </is>
      </c>
      <c r="K18" t="inlineStr">
        <is>
          <t>桂圆, 花椒, 艾绒</t>
        </is>
      </c>
      <c r="L18" t="inlineStr">
        <is>
          <t>10贴/盒</t>
        </is>
      </c>
      <c r="M18"/>
      <c r="N18" t="inlineStr">
        <is>
          <t>单丸尺寸：直径约 1cm，小巧圆润，适配肚脐位置
单贴尺寸：圆形贴布直径约 4cm，贴合腹部肌肤
药芯：天然艾绒、桂圆肉、花椒等草本研磨制成，无额外刺激性添加；
贴布：医用透气胶布，粘性适中、透气亲肤，不易闷肤、不易残留胶痕</t>
        </is>
      </c>
      <c r="O18" t="inlineStr">
        <is>
          <t>50g</t>
        </is>
      </c>
      <c r="P18" t="inlineStr">
        <is>
          <t>保质期180天</t>
        </is>
      </c>
      <c r="Q18"/>
      <c r="R18" t="inlineStr">
        <is>
          <t>传承古方，草本选材：遵循南怀瑾经典配方，甄选艾绒、桂圆、花椒三大天然草本原料，科学配比，温和养护，草本气息纯正自然。
温养调理，多效养护：贴敷神阙穴，持续温感渗透，可驱寒祛湿、暖腹暖宫、调理脾胃，改善手脚冰凉、腹部不适等问题。
使用便捷，不扰生活：丸贴组合设计，独立封装干净卫生，睡前贴上、晨起撕下，敷贴期间不影响睡眠与日常活动，居家办公皆可用。</t>
        </is>
      </c>
      <c r="S18"/>
      <c r="T18"/>
      <c r="U18"/>
      <c r="V18"/>
      <c r="W18"/>
      <c r="X18"/>
      <c r="Y18" t="inlineStr">
        <is>
          <t>艾以盈，香港大药房南师艾脐散贴</t>
        </is>
      </c>
      <c r="Z18"/>
      <c r="AA18"/>
    </row>
    <row r="19" ht="25.5" customHeight="1">
      <c r="A19">
        <v>18</v>
      </c>
      <c r="B19" t="inlineStr">
        <is>
          <t>督脉龙骨灸贴</t>
        </is>
      </c>
      <c r="C19" t="inlineStr">
        <is>
          <t>督脉龙骨灸贴1.jpg</t>
        </is>
      </c>
      <c r="D19">
        <v>29.9</v>
      </c>
      <c r="E19" s="2" t="str">
        <f>=HYPERLINK("https://haohuo.jinritemai.com/ecommerce/trade/detail/index.html?id=3767886654744953002&amp;origin_type=604", "速力达")</f>
        <v>速力达</v>
      </c>
      <c r="F19" t="inlineStr">
        <is>
          <t>https://haohuo.jinritemai.com/ecommerce/trade/detail/index.html?id=3767886654744953002&amp;origin_type=604</t>
        </is>
      </c>
      <c r="G19" s="2"/>
      <c r="H19"/>
      <c r="I19"/>
      <c r="J19" t="inlineStr">
        <is>
          <t>🟢已上架</t>
        </is>
      </c>
      <c r="K19"/>
      <c r="L19" t="inlineStr">
        <is>
          <t>6贴/盒</t>
        </is>
      </c>
      <c r="M19"/>
      <c r="N19" t="inlineStr">
        <is>
          <t>58cm</t>
        </is>
      </c>
      <c r="O19"/>
      <c r="P19"/>
      <c r="Q19"/>
      <c r="R19" t="inlineStr">
        <is>
          <t>1.精准覆盖背部督脉及大椎、命门等关键穴位，1 贴抵 8 片普通膏药贴，大面积贴敷更省心
2.天然草本萃取艾叶精华，长效温养渗透，持续呵护背部经络，温灸养护更到位
3.高弹力透气布，贴合肌肉走向，任意拉扯不紧绷、贴敷不闷肤，肌肤无负担</t>
        </is>
      </c>
      <c r="S19" t="inlineStr">
        <is>
          <t>全覆盖督脉穴位，天然艾叶草本萃取，8 小时长效温灸渗透～高弹透气布贴敷不紧绷，可自由裁剪，1 贴抵 8 片普通贴</t>
        </is>
      </c>
      <c r="T19" t="inlineStr">
        <is>
          <t>清洁擦干背部肌肤，可按需裁剪贴体尺寸，对准脊柱督脉贴敷，轻压平整，贴敷 5-8 小时后撕下即可</t>
        </is>
      </c>
      <c r="U19"/>
      <c r="V19"/>
      <c r="W19"/>
      <c r="X19"/>
      <c r="Y19" t="inlineStr">
        <is>
          <t>艾以盈，香港大药房南师艾脐散贴</t>
        </is>
      </c>
      <c r="Z19"/>
      <c r="AA19"/>
    </row>
    <row r="20" ht="25.5" customHeight="1">
      <c r="A20">
        <v>19</v>
      </c>
      <c r="B20" t="inlineStr">
        <is>
          <t>紫苏甘草陈皮</t>
        </is>
      </c>
      <c r="C20" t="inlineStr">
        <is>
          <t>紫苏甘草陈皮1.png</t>
        </is>
      </c>
      <c r="D20">
        <v>29.9</v>
      </c>
      <c r="E20" s="2" t="str">
        <f>=HYPERLINK("https://haohuo.jinritemai.com/ecommerce/trade/detail/index.html?id=3762641866135306614&amp;origin_type=604", "速力达")</f>
        <v>速力达</v>
      </c>
      <c r="F20" t="inlineStr">
        <is>
          <t>https://haohuo.jinritemai.com/ecommerce/trade/detail/index.html?id=3762641866135306614&amp;origin_type=604</t>
        </is>
      </c>
      <c r="G20" s="2"/>
      <c r="H20"/>
      <c r="I20"/>
      <c r="J20" t="inlineStr">
        <is>
          <t>⚫已下架</t>
        </is>
      </c>
      <c r="K20"/>
      <c r="L20"/>
      <c r="M20"/>
      <c r="N20"/>
      <c r="O20"/>
      <c r="P20"/>
      <c r="Q20"/>
      <c r="R20"/>
      <c r="S20"/>
      <c r="T20"/>
      <c r="U20"/>
      <c r="V20"/>
      <c r="W20"/>
      <c r="X20"/>
      <c r="Y20"/>
      <c r="Z20"/>
      <c r="AA20"/>
    </row>
    <row r="21" ht="25.5" customHeight="1">
      <c r="A21">
        <v>20</v>
      </c>
      <c r="B21" t="inlineStr">
        <is>
          <t>磷虾干/磷虾仁</t>
        </is>
      </c>
      <c r="C21"/>
      <c r="D21">
        <v>39.9</v>
      </c>
      <c r="E21" s="2"/>
      <c r="F21"/>
      <c r="G21" s="2"/>
      <c r="H21"/>
      <c r="I21"/>
      <c r="J21" t="inlineStr">
        <is>
          <t>⚫已下架</t>
        </is>
      </c>
      <c r="K21"/>
      <c r="L21"/>
      <c r="M21"/>
      <c r="N21"/>
      <c r="O21"/>
      <c r="P21"/>
      <c r="Q21"/>
      <c r="R21"/>
      <c r="S21"/>
      <c r="T21"/>
      <c r="U21"/>
      <c r="V21"/>
      <c r="W21"/>
      <c r="X21"/>
      <c r="Y21" t="inlineStr">
        <is>
          <t>南极磷虾4发货对接425群</t>
        </is>
      </c>
      <c r="Z21"/>
      <c r="AA21"/>
    </row>
    <row r="22" ht="25.5" customHeight="1">
      <c r="A22">
        <v>21</v>
      </c>
      <c r="B22" t="inlineStr">
        <is>
          <t>迷你小拖把</t>
        </is>
      </c>
      <c r="C22" t="inlineStr">
        <is>
          <t>迷你小拖把1.jpg,迷你小拖把2.jpg</t>
        </is>
      </c>
      <c r="D22">
        <v>39.9</v>
      </c>
      <c r="E22" s="2" t="str">
        <f>=HYPERLINK("https://haohuo.jinritemai.com/ecommerce/trade/detail/index.html?id=3758578075537899553&amp;origin_type=604", "速力达")</f>
        <v>速力达</v>
      </c>
      <c r="F22" t="inlineStr">
        <is>
          <t>https://haohuo.jinritemai.com/ecommerce/trade/detail/index.html?id=3758578075537899553&amp;origin_type=604</t>
        </is>
      </c>
      <c r="G22" s="2"/>
      <c r="H22"/>
      <c r="I22"/>
      <c r="J22" t="inlineStr">
        <is>
          <t>🟢已上架</t>
        </is>
      </c>
      <c r="K22"/>
      <c r="L22" t="inlineStr">
        <is>
          <t>手柄*1+海绵头*3, 手柄*1+海绵头*1, 手柄*1+海绵头*5, 海绵头*3</t>
        </is>
      </c>
      <c r="M22"/>
      <c r="N22" t="inlineStr">
        <is>
          <t>长度：24.5cm</t>
        </is>
      </c>
      <c r="O22" t="inlineStr">
        <is>
          <t>0.145</t>
        </is>
      </c>
      <c r="P22"/>
      <c r="Q22"/>
      <c r="R22" t="inlineStr">
        <is>
          <t>1.专用优质棉头 柔软更吸水
2.一冲即净 清洗不脏手，不沾灰尘毛发
3.轻便小巧 清洁不累手 污垢灰尘无处遁形，拖地不留水痕，一拖即净</t>
        </is>
      </c>
      <c r="S22" t="inlineStr">
        <is>
          <t>告别抹布擦桌的繁琐，这款迷你拖把专为精细清洁设计。采用专用优质棉头，质地柔软，吸水力强，不仅能强力吸附灰尘毛发，更能一冲即净，真正做到清洗不脏手。</t>
        </is>
      </c>
      <c r="T22" t="inlineStr">
        <is>
          <t>将手柄段的卡扣对准海绵头顶部的卡扣位置接入，听到咔的一声就说明已经接好了哦</t>
        </is>
      </c>
      <c r="U22" t="inlineStr">
        <is>
          <t>迷你小拖把1.jpg</t>
        </is>
      </c>
      <c r="V22"/>
      <c r="W22"/>
      <c r="X22"/>
      <c r="Y22" t="inlineStr">
        <is>
          <t>9818好物家居群</t>
        </is>
      </c>
      <c r="Z22"/>
      <c r="AA22"/>
    </row>
    <row r="23" ht="25.5" customHeight="1">
      <c r="A23">
        <v>22</v>
      </c>
      <c r="B23" t="inlineStr">
        <is>
          <t>牛皮髌骨带</t>
        </is>
      </c>
      <c r="C23" t="inlineStr">
        <is>
          <t>牛皮髌骨带1.jpg,牛皮髌骨带2.jpg</t>
        </is>
      </c>
      <c r="D23">
        <v>49.9</v>
      </c>
      <c r="E23" s="2" t="str">
        <f>=HYPERLINK("https://haohuo.jinritemai.com/ecommerce/trade/detail/index.html?id=3755774567814135984&amp;origin_type=604", "速力达")</f>
        <v>速力达</v>
      </c>
      <c r="F23" t="inlineStr">
        <is>
          <t>https://haohuo.jinritemai.com/ecommerce/trade/detail/index.html?id=3755774567814135984&amp;origin_type=604</t>
        </is>
      </c>
      <c r="G23" s="2"/>
      <c r="H23"/>
      <c r="I23"/>
      <c r="J23" t="inlineStr">
        <is>
          <t>🟢已上架</t>
        </is>
      </c>
      <c r="K23"/>
      <c r="L23" t="inlineStr">
        <is>
          <t>红色*1/*2, 酡红色*1/*2, 天蓝色*1/*2, 灰色*1/*2, 黑色*1/*2, 墨绿色*1/*2, 灰粉色*1/*2</t>
        </is>
      </c>
      <c r="M23"/>
      <c r="N23" t="inlineStr">
        <is>
          <t>长度：20.5cm（直径）
高度：5cm</t>
        </is>
      </c>
      <c r="O23"/>
      <c r="P23"/>
      <c r="Q23"/>
      <c r="R23" t="inlineStr">
        <is>
          <t>1.进口荷兰牛皮 贴合膝盖髌骨
2.不易扭曲变形 牛皮材质 耐磨耐用 不易损坏变形
3.魔术贴设计 自由调节松紧
4.减震缓冲 呵护髌骨</t>
        </is>
      </c>
      <c r="S23" t="inlineStr">
        <is>
          <t>这款髌骨护膝采用立体编制，透气不闷汗，承托减震，高弹缓震，减轻关节内外力量冲击，呵护您的髌腱，运动后不易关节疼痛</t>
        </is>
      </c>
      <c r="T23"/>
      <c r="U23" t="inlineStr">
        <is>
          <t>牛皮髌骨带1.jpg</t>
        </is>
      </c>
      <c r="V23"/>
      <c r="W23"/>
      <c r="X23"/>
      <c r="Y23" t="inlineStr">
        <is>
          <t>9818好物家居群</t>
        </is>
      </c>
      <c r="Z23"/>
      <c r="AA23"/>
    </row>
    <row r="24" ht="25.5" customHeight="1">
      <c r="A24">
        <v>23</v>
      </c>
      <c r="B24" t="inlineStr">
        <is>
          <t>甄选经络拍打锤, 孙瑞芬专属经络拍经络拍</t>
        </is>
      </c>
      <c r="C24" t="inlineStr">
        <is>
          <t>甄选经络拍打锤,孙瑞芬专属经络拍经络拍1.jpg,甄选经络拍打锤,孙瑞芬专属经络拍经络拍2.jpg</t>
        </is>
      </c>
      <c r="D24">
        <v>39.9</v>
      </c>
      <c r="E24" s="2" t="str">
        <f>=HYPERLINK("http://全线下架", "全线下架")</f>
        <v>全线下架</v>
      </c>
      <c r="F24" t="inlineStr">
        <is>
          <t>http://全线下架</t>
        </is>
      </c>
      <c r="G24" s="2"/>
      <c r="H24"/>
      <c r="I24"/>
      <c r="J24" t="inlineStr">
        <is>
          <t>⚫已下架</t>
        </is>
      </c>
      <c r="K24"/>
      <c r="L24" t="inlineStr">
        <is>
          <t>红色*1/*2</t>
        </is>
      </c>
      <c r="M24"/>
      <c r="N24" t="inlineStr">
        <is>
          <t>长度：48cm</t>
        </is>
      </c>
      <c r="O24"/>
      <c r="P24"/>
      <c r="Q24"/>
      <c r="R24" t="inlineStr">
        <is>
          <t>1.柔软加大锤头有弹性 更服帖
2.水晶绒面料.回弹内胆
3.不怕弯曲 缓冲力强耐用折不断</t>
        </is>
      </c>
      <c r="S24" t="inlineStr">
        <is>
          <t>外表采用舒适天鹅绒材质，柔软亲肤，耐摩擦不起球，内里采用环保TPU材质，缓冲力强。全身多个部位又可以用它来拍打放松。可以用来拍肩颈、拍腰背、拍心经、拍胆经等。</t>
        </is>
      </c>
      <c r="T24"/>
      <c r="U24"/>
      <c r="V24"/>
      <c r="W24"/>
      <c r="X24"/>
      <c r="Y24" t="inlineStr">
        <is>
          <t>普拉提圈方形.59指压板26轮知文,9818好物家居群</t>
        </is>
      </c>
      <c r="Z24"/>
      <c r="AA24"/>
    </row>
    <row r="25" ht="25.5" customHeight="1">
      <c r="A25">
        <v>24</v>
      </c>
      <c r="B25" t="inlineStr">
        <is>
          <t>驼背矫正带</t>
        </is>
      </c>
      <c r="C25" t="inlineStr">
        <is>
          <t>驼背矫正带1.jpg,驼背矫正带2.jpg</t>
        </is>
      </c>
      <c r="D25">
        <v>39.9</v>
      </c>
      <c r="E25" s="2" t="str">
        <f>=HYPERLINK("https://haohuo.jinritemai.com/ecommerce/trade/detail/index.html?id=3747061786503938532&amp;origin_type=604", "速力达")</f>
        <v>速力达</v>
      </c>
      <c r="F25" t="inlineStr">
        <is>
          <t>https://haohuo.jinritemai.com/ecommerce/trade/detail/index.html?id=3747061786503938532&amp;origin_type=604</t>
        </is>
      </c>
      <c r="G25" s="2"/>
      <c r="H25"/>
      <c r="I25"/>
      <c r="J25" t="inlineStr">
        <is>
          <t>🟢已上架</t>
        </is>
      </c>
      <c r="K25"/>
      <c r="L25" t="inlineStr">
        <is>
          <t>S码, M码, L码, XL码, XXL码</t>
        </is>
      </c>
      <c r="M25"/>
      <c r="N25" t="inlineStr">
        <is>
          <t>均码：90斤-200斤</t>
        </is>
      </c>
      <c r="O25"/>
      <c r="P25"/>
      <c r="Q25"/>
      <c r="R25" t="inlineStr">
        <is>
          <t>1.3D裁剪工艺 穿戴更舒适 养成挺拔好习惯
2.缓弹面料 舒适不勒肩
3.后背镂空 透气面料</t>
        </is>
      </c>
      <c r="S25" t="inlineStr">
        <is>
          <t xml:space="preserve">由不良姿势习惯导致的（含胸驼背/溜肩/圆肩/高低肩/脖子前倾/肩膀内扣 ）开肩直背，拉伸背部肌肉，合理辅助改善姿势 </t>
        </is>
      </c>
      <c r="T25"/>
      <c r="U25" t="inlineStr">
        <is>
          <t>驼背矫正带1.jpg</t>
        </is>
      </c>
      <c r="V25"/>
      <c r="W25"/>
      <c r="X25"/>
      <c r="Y25" t="inlineStr">
        <is>
          <t>9818好物家居群</t>
        </is>
      </c>
      <c r="Z25"/>
      <c r="AA25"/>
    </row>
    <row r="26" ht="25.5" customHeight="1">
      <c r="A26">
        <v>25</v>
      </c>
      <c r="B26" t="inlineStr">
        <is>
          <t>U型热水袋围脖</t>
        </is>
      </c>
      <c r="C26" t="inlineStr">
        <is>
          <t>U型热水袋围脖1.jpg,U型热水袋围脖2.jpg</t>
        </is>
      </c>
      <c r="D26">
        <v>39.9</v>
      </c>
      <c r="E26" s="2" t="str">
        <f>=HYPERLINK("https://app.kwaixiaodian.com/web/kwaishop-goods-detail-page-app?id=25462220385536&amp;source=goodsListshare_pc_kwaixiaodian&amp;layoutType=4&amp;carrierType=643", "快手")</f>
        <v>快手</v>
      </c>
      <c r="F26" t="inlineStr">
        <is>
          <t>https://app.kwaixiaodian.com/web/kwaishop-goods-detail-page-app?id=25462220385536&amp;source=goodsListshare_pc_kwaixiaodian&amp;layoutType=4&amp;carrierType=643</t>
        </is>
      </c>
      <c r="G26" s="2"/>
      <c r="H26"/>
      <c r="I26"/>
      <c r="J26" t="inlineStr">
        <is>
          <t>🟢已上架</t>
        </is>
      </c>
      <c r="K26"/>
      <c r="L26" t="inlineStr">
        <is>
          <t>炊烟灰, 蔷薇粉, 玳瑁咖, 藏青蓝, 粉色, 蓝色, 灰色</t>
        </is>
      </c>
      <c r="M26"/>
      <c r="N26"/>
      <c r="O26"/>
      <c r="P26"/>
      <c r="Q26"/>
      <c r="R26" t="inlineStr">
        <is>
          <t>1.360°循环锁温 双层锁温计数 保暖性倍增
2.氨纶超柔外套 亲肤锁热 温暖加倍
3.悬浮气阀密封更防漏 采用螺旋气阀设计,安全耐用不漏水
4.热量可深入皮下，激活血液运动，从体外缓到体内，热量传遍全身
5.冷热两用注入冷水秒变冰袋 外套可拆洗设计,手感舒适亲肤，防烫保暖</t>
        </is>
      </c>
      <c r="S26" t="inlineStr">
        <is>
          <t>这个颈椎热水袋有双重作用哦，既能保暖又能缓解颈椎酸痛！
它的U型设计能360°环颈热敷，让热量直达酸痛部位，特别
适合长时间对着电脑的上班族使用。而且是医护级安全材质，双重锁温，使用起来很放心呢~</t>
        </is>
      </c>
      <c r="T26" t="inlineStr">
        <is>
          <t>1. 先将暖手袋向内卷，一半放入毛套中，再把另一头装好并塞进绒毛套中
2. 拧开盖子注入三分之二的热水，排除多余空气后拧紧盖子
使用时记得套上布套，避免重压和利器刺扎，睡觉时也别直接接触皮肤，防止烫伤哦~</t>
        </is>
      </c>
      <c r="U26" t="inlineStr">
        <is>
          <t>U型热水袋围脖1.jpg</t>
        </is>
      </c>
      <c r="V26"/>
      <c r="W26"/>
      <c r="X26"/>
      <c r="Y26" t="inlineStr">
        <is>
          <t>9818好物家居群</t>
        </is>
      </c>
      <c r="Z26"/>
      <c r="AA26"/>
    </row>
    <row r="27" ht="25.5" customHeight="1">
      <c r="A27">
        <v>26</v>
      </c>
      <c r="B27" t="inlineStr">
        <is>
          <t>椭圆形软指压板</t>
        </is>
      </c>
      <c r="C27" t="inlineStr">
        <is>
          <t>椭圆形软指压板1.jpg,椭圆形软指压板2.jpg</t>
        </is>
      </c>
      <c r="D27">
        <v>79</v>
      </c>
      <c r="E27" s="2" t="str">
        <f>=HYPERLINK("http://全线下架", "全线下架")</f>
        <v>全线下架</v>
      </c>
      <c r="F27" t="inlineStr">
        <is>
          <t>http://全线下架</t>
        </is>
      </c>
      <c r="G27" s="2"/>
      <c r="H27"/>
      <c r="I27"/>
      <c r="J27" t="inlineStr">
        <is>
          <t>⚫已下架</t>
        </is>
      </c>
      <c r="K27"/>
      <c r="L27" t="inlineStr">
        <is>
          <t>乳白色, 橙粉色, 蓝色, 绿色</t>
        </is>
      </c>
      <c r="M27"/>
      <c r="N27" t="inlineStr">
        <is>
          <t>长度：85cm
宽度：50cm</t>
        </is>
      </c>
      <c r="O27" t="inlineStr">
        <is>
          <t>1.400</t>
        </is>
      </c>
      <c r="P27"/>
      <c r="Q27"/>
      <c r="R27" t="inlineStr">
        <is>
          <t>1.科学硬度 软硬适中
2.强韧回弹材质 就用不断裂
3.安全防滑设计 搭配大磁石
4.软弹性圆球 软硅胶卡通小太阳设计</t>
        </is>
      </c>
      <c r="S27" t="inlineStr">
        <is>
          <t>这款超慢跑指压板足底按摩垫主要用于整体减肥、塑身和美体，帮助缓解脚底疲劳，提升运动表现。</t>
        </is>
      </c>
      <c r="T27" t="inlineStr">
        <is>
          <t>使用前请确保脚底干净干燥，将按摩垫对准脚底中心，调整磁石位置至舒适度，然后按压按摩垫中心约3-5分钟，可根据需求延长按摩时长。注意避免长时间按压同一部位，以免造成局部受压。</t>
        </is>
      </c>
      <c r="U27"/>
      <c r="V27"/>
      <c r="W27"/>
      <c r="X27"/>
      <c r="Y27" t="inlineStr">
        <is>
          <t>9818好物家居群</t>
        </is>
      </c>
      <c r="Z27"/>
      <c r="AA27"/>
    </row>
    <row r="28" ht="25.5" customHeight="1">
      <c r="A28">
        <v>27</v>
      </c>
      <c r="B28" t="inlineStr">
        <is>
          <t>凡士林倍护膏</t>
        </is>
      </c>
      <c r="C28" t="inlineStr">
        <is>
          <t>凡士林倍护膏1.jpg,凡士林倍护膏2.jpg</t>
        </is>
      </c>
      <c r="D28">
        <v>12.9</v>
      </c>
      <c r="E28" s="2" t="str">
        <f>=HYPERLINK("https://haohuo.jinritemai.com/ecommerce/trade/detail/index.html?id=3784189933913243701&amp;origin_type=604", "海智")</f>
        <v>海智</v>
      </c>
      <c r="F28" t="inlineStr">
        <is>
          <t>https://haohuo.jinritemai.com/ecommerce/trade/detail/index.html?id=3784189933913243701&amp;origin_type=604</t>
        </is>
      </c>
      <c r="G28" s="2"/>
      <c r="H28"/>
      <c r="I28"/>
      <c r="J28" t="inlineStr">
        <is>
          <t>🟢已上架</t>
        </is>
      </c>
      <c r="K28"/>
      <c r="L28" t="inlineStr">
        <is>
          <t>原味, 水蜜桃</t>
        </is>
      </c>
      <c r="M28"/>
      <c r="N28"/>
      <c r="O28" t="inlineStr">
        <is>
          <t>0.040</t>
        </is>
      </c>
      <c r="P28"/>
      <c r="Q28"/>
      <c r="R28" t="inlineStr">
        <is>
          <t>1.一瓶多用 嫩肤呵护 多重呵护 无惧风寒挑战
2.沁润呵护 防干防裂 弹润细滑
3.润肤成分 保湿柔嫩「令干燥粗糙的肌肤得到奢养呵护」
4.小巧可爱·轻便携 方便取量 包包口袋不怕塞不下</t>
        </is>
      </c>
      <c r="S28" t="inlineStr">
        <is>
          <t>亲亲，这款防裂凡士林的主要作用是防干防裂和深层滋润哦~它含有矿脂、
矿油等润肤成分，质地轻薄不油腻，能够深层滋润干燥粗糙的肌肤，防止手足干裂和起皮。</t>
        </is>
      </c>
      <c r="T28" t="inlineStr">
        <is>
          <t>身体任何干燥的地方都能用的哦，无论是手部、脚部、还是其他部位的干燥起皮，
产品质地轻薄不厚重，补水不油腻，全身水嫩肌肤就靠它了，滋润效果真的很不错呢~</t>
        </is>
      </c>
      <c r="U28" t="inlineStr">
        <is>
          <t>凡士林倍护膏1.jpg</t>
        </is>
      </c>
      <c r="V28"/>
      <c r="W28"/>
      <c r="X28"/>
      <c r="Y28" t="inlineStr">
        <is>
          <t>9818好物家居群</t>
        </is>
      </c>
      <c r="Z28"/>
      <c r="AA28"/>
    </row>
    <row r="29" ht="25.5" customHeight="1">
      <c r="A29">
        <v>28</v>
      </c>
      <c r="B29" t="inlineStr">
        <is>
          <t>狼牙瑜伽柱</t>
        </is>
      </c>
      <c r="C29" t="inlineStr">
        <is>
          <t>狼牙瑜伽柱1.jpg,狼牙瑜伽柱2.jpg</t>
        </is>
      </c>
      <c r="D29">
        <v>29.9</v>
      </c>
      <c r="E29" s="2" t="str">
        <f>=HYPERLINK("https://haohuo.jinritemai.com/ecommerce/trade/detail/index.html?id=3767886549434368308&amp;origin_type=604", "速力达")</f>
        <v>速力达</v>
      </c>
      <c r="F29" t="inlineStr">
        <is>
          <t>https://haohuo.jinritemai.com/ecommerce/trade/detail/index.html?id=3767886549434368308&amp;origin_type=604</t>
        </is>
      </c>
      <c r="G29" s="2"/>
      <c r="H29"/>
      <c r="I29"/>
      <c r="J29" t="inlineStr">
        <is>
          <t>🟢已上架</t>
        </is>
      </c>
      <c r="K29"/>
      <c r="L29" t="inlineStr">
        <is>
          <t>粉色, 蓝色, 紫色</t>
        </is>
      </c>
      <c r="M29"/>
      <c r="N29"/>
      <c r="O29" t="inlineStr">
        <is>
          <t>0.820</t>
        </is>
      </c>
      <c r="P29"/>
      <c r="Q29"/>
      <c r="R29" t="inlineStr">
        <is>
          <t>1.狼牙按摩瑜伽柱 大凹点间隙 按摩更酸爽
2.EVA材料独立的微闭孔发泡内部结构结实,高密度,高弹性,高韧性
3.3D连珠按摩纹交错按摩 不留死角
4.内管采用高密度塑代钢PVC材质 高强抗压持久耐用</t>
        </is>
      </c>
      <c r="S29" t="inlineStr">
        <is>
          <t>专业高密度 EVA 瑜伽柱，有效缓解肌肉僵硬与酸痛。通过深度按压释放筋膜压力，加速运动后恢复，提升身体柔韧性。轻便耐用，是居家健身与运动放松的必备神器</t>
        </is>
      </c>
      <c r="T29" t="inlineStr">
        <is>
          <t>1：将柱体置于需放松部位下方，利用自身体重缓慢滚动。
2：遇到酸痛点（激痛点）时停留 30 秒，深呼吸直至痛感减轻。
3：配合手臂支撑调整力度，避开骨头与关节，动作宜慢不宜快。</t>
        </is>
      </c>
      <c r="U29" t="inlineStr">
        <is>
          <t>狼牙瑜伽柱1.jpg</t>
        </is>
      </c>
      <c r="V29"/>
      <c r="W29"/>
      <c r="X29"/>
      <c r="Y29" t="inlineStr">
        <is>
          <t>普拉提圈方形.59指压板26轮知文</t>
        </is>
      </c>
      <c r="Z29"/>
      <c r="AA29"/>
    </row>
    <row r="30" ht="25.5" customHeight="1">
      <c r="A30">
        <v>29</v>
      </c>
      <c r="B30" t="inlineStr">
        <is>
          <t>拉筋板拉伸神器</t>
        </is>
      </c>
      <c r="C30" t="inlineStr">
        <is>
          <t>拉筋板拉伸神器1.jpg,拉筋板拉伸神器2.jpg</t>
        </is>
      </c>
      <c r="D30">
        <v>39.9</v>
      </c>
      <c r="E30" s="2" t="str">
        <f>=HYPERLINK("https://haohuo.jinritemai.com/ecommerce/trade/detail/index.html?id=3767885420067684753&amp;origin_type=604", "速力达")</f>
        <v>速力达</v>
      </c>
      <c r="F30" t="inlineStr">
        <is>
          <t>https://haohuo.jinritemai.com/ecommerce/trade/detail/index.html?id=3767885420067684753&amp;origin_type=604</t>
        </is>
      </c>
      <c r="G30" s="2"/>
      <c r="H30"/>
      <c r="I30"/>
      <c r="J30" t="inlineStr">
        <is>
          <t>🟢已上架</t>
        </is>
      </c>
      <c r="K30"/>
      <c r="L30" t="inlineStr">
        <is>
          <t>粉色, 绿色, 紫色, 灰色</t>
        </is>
      </c>
      <c r="M30"/>
      <c r="N30" t="inlineStr">
        <is>
          <t>30*25.5CM</t>
        </is>
      </c>
      <c r="O30" t="inlineStr">
        <is>
          <t>称重：约420斤
16档可调节档位</t>
        </is>
      </c>
      <c r="P30"/>
      <c r="Q30"/>
      <c r="R30" t="inlineStr">
        <is>
          <t>1.甄选加厚高密度软回弹TEP，包裹不位移 久站不痛 全面升级舒适度
2.11档任意调节 满足不同拉升需求人群 增大可调节范围，降低拉伸入门门槛
3.三角结构 安全稳定不晃动，可称重约400kg
4.强力抓地防滑垫 不打滑免受伤 能稳稳抓住地面
5.ABS环保材质 安全无异味 结实耐用不变形,防腐蚀易清洗绿色环保更安心</t>
        </is>
      </c>
      <c r="S30" t="inlineStr">
        <is>
          <t>这款拉伸器采用人体工学设计，甄选加厚高密度软回弹 TEP 材质，包裹紧实不位移，安全稳定不晃动，搭配强力抓地防滑垫，稳固抓地免受伤。主体选用 ABS 环保材质，安全无异味、结实耐用且易清洗。具备 11 档任意调节功能，满足多样化拉升需求</t>
        </is>
      </c>
      <c r="T30"/>
      <c r="U30" t="inlineStr">
        <is>
          <t>拉筋板拉伸神器1.png</t>
        </is>
      </c>
      <c r="V30"/>
      <c r="W30"/>
      <c r="X30"/>
      <c r="Y30" t="inlineStr">
        <is>
          <t>普拉提圈方形.59指压板26轮知文</t>
        </is>
      </c>
      <c r="Z30"/>
      <c r="AA30"/>
    </row>
    <row r="31" ht="25.5" customHeight="1">
      <c r="A31">
        <v>30</v>
      </c>
      <c r="B31" t="inlineStr">
        <is>
          <t>32轮腿部按摩器</t>
        </is>
      </c>
      <c r="C31" t="inlineStr">
        <is>
          <t>32轮腿部按摩器1.png,32轮腿部按摩器2.jpg</t>
        </is>
      </c>
      <c r="D31">
        <v>29.9</v>
      </c>
      <c r="E31" s="2" t="str">
        <f>=HYPERLINK("https://haohuo.jinritemai.com/ecommerce/trade/detail/index.html?id=3767886143820005849&amp;origin_type=604", "速力达")</f>
        <v>速力达</v>
      </c>
      <c r="F31" t="inlineStr">
        <is>
          <t>https://haohuo.jinritemai.com/ecommerce/trade/detail/index.html?id=3767886143820005849&amp;origin_type=604</t>
        </is>
      </c>
      <c r="G31" s="2"/>
      <c r="H31"/>
      <c r="I31"/>
      <c r="J31" t="inlineStr">
        <is>
          <t>🟢已上架</t>
        </is>
      </c>
      <c r="K31" t="inlineStr">
        <is>
          <t>pp</t>
        </is>
      </c>
      <c r="L31" t="inlineStr">
        <is>
          <t>紫色, 蓝色, 粉色</t>
        </is>
      </c>
      <c r="M31"/>
      <c r="N31"/>
      <c r="O31"/>
      <c r="P31"/>
      <c r="Q31"/>
      <c r="R31" t="inlineStr">
        <is>
          <t>1.升级双层32轮 全包裹按摩器
2.360°包裹式按摩环形全覆盖 塑形无死角
3.仿花生造型球体 按摩舒缓不断切换
4.人体工程学专利 钻石纹矩阵防滑手柄
5.无异味环保材质，使用更放心
6.自由调整角度 满足不同腿围的需求</t>
        </is>
      </c>
      <c r="S31" t="inlineStr">
        <is>
          <t xml:space="preserve">使用夹腿器的可以紧致腿部肌肉、改善腿型、辅助放松运动后紧张的腿部肌肉，并可作为瘦腿运动的辅助工具‌哦（无法直接分解脂肪，需配合饮食控制和其他运动哦）~ </t>
        </is>
      </c>
      <c r="T31"/>
      <c r="U31" t="inlineStr">
        <is>
          <t>32轮腿部按摩器1.jpg</t>
        </is>
      </c>
      <c r="V31"/>
      <c r="W31"/>
      <c r="X31"/>
      <c r="Y31" t="inlineStr">
        <is>
          <t>普拉提圈方形.59指压板26轮知文</t>
        </is>
      </c>
      <c r="Z31"/>
      <c r="AA31"/>
    </row>
    <row r="32" ht="25.5" customHeight="1">
      <c r="A32">
        <v>31</v>
      </c>
      <c r="B32" t="inlineStr">
        <is>
          <t>脚踝扣</t>
        </is>
      </c>
      <c r="C32" t="inlineStr">
        <is>
          <t>脚踝扣1.jpg,脚踝扣2.jpg</t>
        </is>
      </c>
      <c r="D32">
        <v>25</v>
      </c>
      <c r="E32" s="2" t="str">
        <f>=HYPERLINK("https://haohuo.jinritemai.com/ecommerce/trade/detail/index.html?id=3767887125161312366&amp;origin_type=604", "速力达")</f>
        <v>速力达</v>
      </c>
      <c r="F32" t="inlineStr">
        <is>
          <t>https://haohuo.jinritemai.com/ecommerce/trade/detail/index.html?id=3767887125161312366&amp;origin_type=604</t>
        </is>
      </c>
      <c r="G32" s="2"/>
      <c r="H32"/>
      <c r="I32"/>
      <c r="J32" t="inlineStr">
        <is>
          <t>🟢已上架</t>
        </is>
      </c>
      <c r="K32" t="inlineStr">
        <is>
          <t>涤纶（聚酯纤维）</t>
        </is>
      </c>
      <c r="L32" t="inlineStr">
        <is>
          <t>蓝色, 粉色</t>
        </is>
      </c>
      <c r="M32"/>
      <c r="N32"/>
      <c r="O32"/>
      <c r="P32"/>
      <c r="Q32"/>
      <c r="R32" t="inlineStr">
        <is>
          <t>1.高强拉伸 健身塑形 专业健身阻力带
2.可调节魔术贴不易崩开 自由调节长短</t>
        </is>
      </c>
      <c r="S32" t="inlineStr">
        <is>
          <t>练臀、瘦腿、核心强化，一个脚踝扣搞定!搭配龙门架，解锁N种训练姿势~居家健身也能用，运动小白也能轻松上手!</t>
        </is>
      </c>
      <c r="T32" t="inlineStr">
        <is>
          <t>可以搭配健身房龙门架使用，绑在脚踝上 链接弹力绳 做腿部运动 锻炼大腿和臀部</t>
        </is>
      </c>
      <c r="U32" t="inlineStr">
        <is>
          <t>脚踝扣1.jpg</t>
        </is>
      </c>
      <c r="V32"/>
      <c r="W32"/>
      <c r="X32"/>
      <c r="Y32" t="inlineStr">
        <is>
          <t>普拉提圈方形.59指压板26轮知文</t>
        </is>
      </c>
      <c r="Z32"/>
      <c r="AA32"/>
    </row>
    <row r="33" ht="25.5" customHeight="1">
      <c r="A33">
        <v>32</v>
      </c>
      <c r="B33" t="inlineStr">
        <is>
          <t>筋膜枪</t>
        </is>
      </c>
      <c r="C33" t="inlineStr">
        <is>
          <t>筋膜枪1.jpg,筋膜枪2.jpg</t>
        </is>
      </c>
      <c r="D33">
        <v>99</v>
      </c>
      <c r="E33" s="2" t="str">
        <f>=HYPERLINK("http://全线下架", "全线下架")</f>
        <v>全线下架</v>
      </c>
      <c r="F33" t="inlineStr">
        <is>
          <t>http://全线下架</t>
        </is>
      </c>
      <c r="G33" s="2"/>
      <c r="H33"/>
      <c r="I33"/>
      <c r="J33" t="inlineStr">
        <is>
          <t>⚫已下架</t>
        </is>
      </c>
      <c r="K33" t="inlineStr">
        <is>
          <t>金属</t>
        </is>
      </c>
      <c r="L33" t="inlineStr">
        <is>
          <t>黑色, 白色</t>
        </is>
      </c>
      <c r="M33"/>
      <c r="N33" t="inlineStr">
        <is>
          <t>20.5*6.5cm</t>
        </is>
      </c>
      <c r="O33" t="inlineStr">
        <is>
          <t>0.800</t>
        </is>
      </c>
      <c r="P33"/>
      <c r="Q33"/>
      <c r="R33" t="inlineStr">
        <is>
          <t>1.360°无死角旋转 任何方位都顾及到
2.可充电锂电池 更出色的续航能力
3.大面积覆盖按摩 按摩推脂我都行
4.精选多种专业按摩头 科学刺激每处肌群</t>
        </is>
      </c>
      <c r="S33" t="inlineStr">
        <is>
          <t>筋膜枪是非常实用的  不仅可以运动后缓解肌肉僵硬酸痛，还可以缓解肩椎劳损，腰酸背痛，以及还有身体减肥的功效，它适合任何人群使用，很大程度上改善亚健康哦每次使用最好不要超过10分钟，根据部位的不同，每个部位建议30S-1min哈</t>
        </is>
      </c>
      <c r="T33"/>
      <c r="U33" t="inlineStr">
        <is>
          <t>八头筋膜枪1.png,筋膜枪1.jpg</t>
        </is>
      </c>
      <c r="V33"/>
      <c r="W33"/>
      <c r="X33"/>
      <c r="Y33" t="inlineStr">
        <is>
          <t>普拉提圈方形.59指压板26轮知文</t>
        </is>
      </c>
      <c r="Z33"/>
      <c r="AA33"/>
    </row>
    <row r="34" ht="25.5" customHeight="1">
      <c r="A34">
        <v>33</v>
      </c>
      <c r="B34" t="inlineStr">
        <is>
          <t>40轮腿部按摩神器</t>
        </is>
      </c>
      <c r="C34" t="inlineStr">
        <is>
          <t>40轮腿部按摩神器1.png,40轮腿部按摩神器2.jpg</t>
        </is>
      </c>
      <c r="D34">
        <v>39.9</v>
      </c>
      <c r="E34" s="2"/>
      <c r="F34"/>
      <c r="G34" s="2"/>
      <c r="H34"/>
      <c r="I34"/>
      <c r="J34" t="inlineStr">
        <is>
          <t>🟢已上架</t>
        </is>
      </c>
      <c r="K34" t="inlineStr">
        <is>
          <t>pp</t>
        </is>
      </c>
      <c r="L34" t="inlineStr">
        <is>
          <t>粉色, 紫色, 绿色</t>
        </is>
      </c>
      <c r="M34"/>
      <c r="N34" t="inlineStr">
        <is>
          <t>售后期限：30天</t>
        </is>
      </c>
      <c r="O34"/>
      <c r="P34"/>
      <c r="Q34"/>
      <c r="R34"/>
      <c r="S34"/>
      <c r="T34"/>
      <c r="U34" t="inlineStr">
        <is>
          <t>40轮腿部按摩神器1.mp4</t>
        </is>
      </c>
      <c r="V34"/>
      <c r="W34"/>
      <c r="X34"/>
      <c r="Y34" t="inlineStr">
        <is>
          <t>普拉提圈方形.59指压板26轮知文</t>
        </is>
      </c>
      <c r="Z34"/>
      <c r="AA34"/>
    </row>
    <row r="35" ht="25.5" customHeight="1">
      <c r="A35">
        <v>34</v>
      </c>
      <c r="B35" t="inlineStr">
        <is>
          <t>椭圆硅胶双面指压板</t>
        </is>
      </c>
      <c r="C35" t="inlineStr">
        <is>
          <t>椭圆硅胶双面指压板1.jpg,椭圆硅胶双面指压板2.jpg</t>
        </is>
      </c>
      <c r="D35">
        <v>59</v>
      </c>
      <c r="E35" s="2" t="str">
        <f>=HYPERLINK("http://全线下架", "全线下架")</f>
        <v>全线下架</v>
      </c>
      <c r="F35" t="inlineStr">
        <is>
          <t>http://全线下架</t>
        </is>
      </c>
      <c r="G35" s="2"/>
      <c r="H35"/>
      <c r="I35"/>
      <c r="J35" t="inlineStr">
        <is>
          <t>⚫已下架</t>
        </is>
      </c>
      <c r="K35"/>
      <c r="L35" t="inlineStr">
        <is>
          <t>粉色, 紫色</t>
        </is>
      </c>
      <c r="M35"/>
      <c r="N35" t="inlineStr">
        <is>
          <t>直径45cm</t>
        </is>
      </c>
      <c r="O35"/>
      <c r="P35"/>
      <c r="Q35"/>
      <c r="R35" t="inlineStr">
        <is>
          <t>1.防滑设计 抓地力更强
2.双面按摩 初级到进阶 一物搞定
3.环保硅胶 高韧性材质</t>
        </is>
      </c>
      <c r="S35" t="inlineStr">
        <is>
          <t xml:space="preserve">亲亲，这款指压板是专为足底按摩设计的，
能帮助疏通经络、缓解疲劳，适合长时间站立
或跑步后使用。您可根据自身需求随时使用哦~ </t>
        </is>
      </c>
      <c r="T35"/>
      <c r="U35" t="inlineStr">
        <is>
          <t>椭圆硅胶双面指压板1.jpg</t>
        </is>
      </c>
      <c r="V35"/>
      <c r="W35"/>
      <c r="X35"/>
      <c r="Y35" t="inlineStr">
        <is>
          <t>普拉提圈方形.59指压板26轮知文</t>
        </is>
      </c>
      <c r="Z35"/>
      <c r="AA35"/>
    </row>
    <row r="36" ht="25.5" customHeight="1">
      <c r="A36">
        <v>35</v>
      </c>
      <c r="B36" t="inlineStr">
        <is>
          <t>液态硅胶指压板</t>
        </is>
      </c>
      <c r="C36" t="inlineStr">
        <is>
          <t>液态硅胶指压板1.png,液态硅胶指压板2.jpg,液态硅胶指压板3.jpg,液态硅胶指压板4.png,液态硅胶指压板加大加宽1.jpg,液态硅胶指压板加大加宽2.jpg</t>
        </is>
      </c>
      <c r="D36">
        <v>59.9</v>
      </c>
      <c r="E36" s="2" t="str">
        <f>=HYPERLINK("https://haohuo.jinritemai.com/ecommerce/trade/detail/index.html?id=3767887071323226178&amp;origin_type=604", "速力达")</f>
        <v>速力达</v>
      </c>
      <c r="F36" t="inlineStr">
        <is>
          <t>https://haohuo.jinritemai.com/ecommerce/trade/detail/index.html?id=3767887071323226178&amp;origin_type=604</t>
        </is>
      </c>
      <c r="G36" s="2" t="str">
        <f>=HYPERLINK("https://haohuo.jinritemai.com/ecommerce/trade/detail/index.html?id=3778437252829544477&amp;origin_type=604", "速力达")</f>
        <v>速力达</v>
      </c>
      <c r="H36" t="inlineStr">
        <is>
          <t>https://haohuo.jinritemai.com/ecommerce/trade/detail/index.html?id=3778437252829544477&amp;origin_type=604</t>
        </is>
      </c>
      <c r="I36"/>
      <c r="J36" t="inlineStr">
        <is>
          <t>🟢已上架</t>
        </is>
      </c>
      <c r="K36" t="inlineStr">
        <is>
          <t>硅胶</t>
        </is>
      </c>
      <c r="L36" t="inlineStr">
        <is>
          <t>紫色, 粉色, 绿色</t>
        </is>
      </c>
      <c r="M36"/>
      <c r="N36" t="inlineStr">
        <is>
          <t>标准版：550*460mm*1cm
加长版：760*460mm*1cm
（指压板突起点：大的预估 1cm 小的预估 0.5cm）</t>
        </is>
      </c>
      <c r="O36" t="inlineStr">
        <is>
          <t>普通款：0.87kg
加大款：1.3kg</t>
        </is>
      </c>
      <c r="P36" t="inlineStr">
        <is>
          <t>质保一年；破损直接补发（签收日起算，不支持退款）</t>
        </is>
      </c>
      <c r="Q36" t="inlineStr">
        <is>
          <t>液态双球</t>
        </is>
      </c>
      <c r="R36" t="inlineStr">
        <is>
          <t>1：液态硅胶超软材质：柔软回弹不扎脚、不痛脚，告别传统硬指压板刺痛感，按摩更舒适2：指压 + 双球双效按摩：凸点按压足底穴位，搭配两颗按摩球深度放松筋膜，舒缓更到位
加厚防滑底座：底部防滑纹设计，踩踏不位移、不打滑，使用更安全
食品级环保材质：无异味、无毒亲肤，韧性强不易断裂</t>
        </is>
      </c>
      <c r="S36" t="inlineStr">
        <is>
          <t>这款超慢跑指压板足底按摩垫主要用于整体减肥、塑身和美体，帮助缓解脚底疲劳，提升运动表现。</t>
        </is>
      </c>
      <c r="T36"/>
      <c r="U36" t="inlineStr">
        <is>
          <t>b24aa3f6457d04c5218c88cb995b5f65.png,液态硅胶指压板1.pdf,液态硅胶指压板2.mp4,液态硅胶指压板3.jpg,液态硅胶指压板4.jpg,液态硅胶指压板5.jpg</t>
        </is>
      </c>
      <c r="V36" t="inlineStr">
        <is>
          <t>硅胶指压板合格证.png</t>
        </is>
      </c>
      <c r="W36" t="inlineStr">
        <is>
          <t>指压板液态硅胶的质检报告.jpg</t>
        </is>
      </c>
      <c r="X36"/>
      <c r="Y36" t="inlineStr">
        <is>
          <t>普拉提圈方形.59指压板26轮知文</t>
        </is>
      </c>
      <c r="Z36"/>
      <c r="AA36"/>
    </row>
    <row r="37" ht="25.5" customHeight="1">
      <c r="A37">
        <v>36</v>
      </c>
      <c r="B37" t="inlineStr">
        <is>
          <t>双球长方形指压板</t>
        </is>
      </c>
      <c r="C37" t="inlineStr">
        <is>
          <t>双球长方形指压板1.jpg,双球长方形指压板2.jpg</t>
        </is>
      </c>
      <c r="D37">
        <v>39.9</v>
      </c>
      <c r="E37" s="2"/>
      <c r="F37"/>
      <c r="G37" s="2"/>
      <c r="H37"/>
      <c r="I37"/>
      <c r="J37" t="inlineStr">
        <is>
          <t>⚫已下架</t>
        </is>
      </c>
      <c r="K37"/>
      <c r="L37" t="inlineStr">
        <is>
          <t>紫色</t>
        </is>
      </c>
      <c r="M37"/>
      <c r="N37" t="inlineStr">
        <is>
          <t>505*425mm</t>
        </is>
      </c>
      <c r="O37"/>
      <c r="P37"/>
      <c r="Q37"/>
      <c r="R37" t="inlineStr">
        <is>
          <t>1.立体悬浮点 适用各种力度
2.健康好材质 进口TPE材质
3.按摩舒筋活络 磁疗享受健康
4.搭配按摩球按摩 轻松放松底部</t>
        </is>
      </c>
      <c r="S37" t="inlineStr">
        <is>
          <t>亲亲，这款指压板是专为足底按摩设计的，
能帮助疏通经络、缓解疲劳，适合长时间站立
或跑步后使用。您可根据自身需求随时使用哦~ 
</t>
        </is>
      </c>
      <c r="T37"/>
      <c r="U37" t="inlineStr">
        <is>
          <t>双球长方形指压板1.jpg</t>
        </is>
      </c>
      <c r="V37"/>
      <c r="W37"/>
      <c r="X37"/>
      <c r="Y37" t="inlineStr">
        <is>
          <t>普拉提圈方形.59指压板26轮知文</t>
        </is>
      </c>
      <c r="Z37"/>
      <c r="AA37"/>
    </row>
    <row r="38" ht="25.5" customHeight="1">
      <c r="A38">
        <v>37</v>
      </c>
      <c r="B38" t="inlineStr">
        <is>
          <t>健身弹力带拉力器</t>
        </is>
      </c>
      <c r="C38" t="inlineStr">
        <is>
          <t>健身弹力带拉力器1.jpg,健身弹力带拉力器2.jpg</t>
        </is>
      </c>
      <c r="D38">
        <v>69</v>
      </c>
      <c r="E38" s="2" t="str">
        <f>=HYPERLINK("https://haohuo.jinritemai.com/ecommerce/trade/detail/index.html?id=3748197255564361943&amp;origin_type=604", "速力达")</f>
        <v>速力达</v>
      </c>
      <c r="F38" t="inlineStr">
        <is>
          <t>https://haohuo.jinritemai.com/ecommerce/trade/detail/index.html?id=3748197255564361943&amp;origin_type=604</t>
        </is>
      </c>
      <c r="G38" s="2" t="str">
        <f>=HYPERLINK("https://haohuo.jinritemai.com/ecommerce/trade/detail/index.html?id=3795701361287495883&amp;origin_type=604", "速力达")</f>
        <v>速力达</v>
      </c>
      <c r="H38" t="inlineStr">
        <is>
          <t>https://haohuo.jinritemai.com/ecommerce/trade/detail/index.html?id=3795701361287495883&amp;origin_type=604</t>
        </is>
      </c>
      <c r="I38"/>
      <c r="J38" t="inlineStr">
        <is>
          <t>🟢已上架</t>
        </is>
      </c>
      <c r="K38" t="inlineStr">
        <is>
          <t>硅胶, pp</t>
        </is>
      </c>
      <c r="L38" t="inlineStr">
        <is>
          <t>粉色, 灰色</t>
        </is>
      </c>
      <c r="M38"/>
      <c r="N38" t="inlineStr">
        <is>
          <t>52*12cm</t>
        </is>
      </c>
      <c r="O38" t="inlineStr">
        <is>
          <t>0.43kg</t>
        </is>
      </c>
      <c r="P38"/>
      <c r="Q38"/>
      <c r="R38" t="inlineStr">
        <is>
          <t>1.强拉伸高回弹 耐用不变形
2.布艺脚蹬 拉伸不硌脚
3.防滑握柄 舒适不勒手
4.加厚拉力带 强拉不断裂</t>
        </is>
      </c>
      <c r="S38" t="inlineStr">
        <is>
          <t xml:space="preserve">开肩美背、美体塑性、全身锻炼，可以帮助缓解肩颈僵硬和疼痛，通过科学的拉伸和锻炼，改善肩颈健康。 </t>
        </is>
      </c>
      <c r="T38"/>
      <c r="U38" t="inlineStr">
        <is>
          <t>拉力器新1（98mb）.mp4,拉力器新2（81mb）.mp4,拉力器新3（34.8mb）.mp4,健身弹力带拉力器1.jpg</t>
        </is>
      </c>
      <c r="V38"/>
      <c r="W38" t="inlineStr">
        <is>
          <t>拉力器质检报告.png</t>
        </is>
      </c>
      <c r="X38"/>
      <c r="Y38" t="inlineStr">
        <is>
          <t>普拉提圈方形.59指压板26轮知文</t>
        </is>
      </c>
      <c r="Z38"/>
      <c r="AA38"/>
    </row>
    <row r="39" ht="25.5" customHeight="1">
      <c r="A39">
        <v>38</v>
      </c>
      <c r="B39" t="inlineStr">
        <is>
          <t>多功能拉筋板</t>
        </is>
      </c>
      <c r="C39" t="inlineStr">
        <is>
          <t>多功能拉筋板1.jpg,多功能拉筋板2.jpg</t>
        </is>
      </c>
      <c r="D39">
        <v>39</v>
      </c>
      <c r="E39" s="2" t="str">
        <f>=HYPERLINK("https://haohuo.jinritemai.com/ecommerce/trade/detail/index.html?id=3767885757113565480&amp;origin_type=604", "海智")</f>
        <v>海智</v>
      </c>
      <c r="F39" t="inlineStr">
        <is>
          <t>https://haohuo.jinritemai.com/ecommerce/trade/detail/index.html?id=3767885757113565480&amp;origin_type=604</t>
        </is>
      </c>
      <c r="G39" s="2"/>
      <c r="H39"/>
      <c r="I39"/>
      <c r="J39" t="inlineStr">
        <is>
          <t>🟢已上架</t>
        </is>
      </c>
      <c r="K39"/>
      <c r="L39" t="inlineStr">
        <is>
          <t>粉色, 紫色, 蓝色, 绿色</t>
        </is>
      </c>
      <c r="M39"/>
      <c r="N39" t="inlineStr">
        <is>
          <t>32*25.5cm</t>
        </is>
      </c>
      <c r="O39" t="inlineStr">
        <is>
          <t>最大承受重量：约420斤</t>
        </is>
      </c>
      <c r="P39"/>
      <c r="Q39"/>
      <c r="R39" t="inlineStr">
        <is>
          <t>1.强拉伸高回弹 耐用不变形
2.布艺脚蹬 拉伸不硌脚
3.防滑握柄 舒适不勒手
4.加厚拉力带 强拉不断裂</t>
        </is>
      </c>
      <c r="S39" t="inlineStr">
        <is>
          <t xml:space="preserve">开肩美背、美体塑性、全身锻炼，可以帮助缓解肩颈僵硬和疼痛，通过科学的拉伸和锻炼，改善肩颈健康。 </t>
        </is>
      </c>
      <c r="T39"/>
      <c r="U39" t="inlineStr">
        <is>
          <t>多功能拉筋板1.jpg</t>
        </is>
      </c>
      <c r="V39"/>
      <c r="W39"/>
      <c r="X39"/>
      <c r="Y39" t="inlineStr">
        <is>
          <t>普拉提圈方形.59指压板26轮知文</t>
        </is>
      </c>
      <c r="Z39"/>
      <c r="AA39"/>
    </row>
    <row r="40" ht="25.5" customHeight="1">
      <c r="A40">
        <v>39</v>
      </c>
      <c r="B40" t="inlineStr">
        <is>
          <t>瑜珈普拉提圈</t>
        </is>
      </c>
      <c r="C40" t="inlineStr">
        <is>
          <t>瑜珈普拉提圈1.jpg,瑜珈普拉提圈2.jpg</t>
        </is>
      </c>
      <c r="D40">
        <v>39</v>
      </c>
      <c r="E40" s="2" t="str">
        <f>=HYPERLINK("https://haohuo.jinritemai.com/ecommerce/trade/detail/index.html?id=3747289142619406428&amp;origin_type=604", "速力达")</f>
        <v>速力达</v>
      </c>
      <c r="F40" t="inlineStr">
        <is>
          <t>https://haohuo.jinritemai.com/ecommerce/trade/detail/index.html?id=3747289142619406428&amp;origin_type=604</t>
        </is>
      </c>
      <c r="G40" s="2"/>
      <c r="H40"/>
      <c r="I40"/>
      <c r="J40" t="inlineStr">
        <is>
          <t>🟢已上架</t>
        </is>
      </c>
      <c r="K40" t="inlineStr">
        <is>
          <t>玻璃钢, EVA泡棉, TPR</t>
        </is>
      </c>
      <c r="L40" t="inlineStr">
        <is>
          <t>粉色, 紫色, 蓝色, 黑色</t>
        </is>
      </c>
      <c r="M40"/>
      <c r="N40" t="inlineStr">
        <is>
          <t>内径：32cm
高：3cm</t>
        </is>
      </c>
      <c r="O40" t="inlineStr">
        <is>
          <t>0.333/25的抗阻力</t>
        </is>
      </c>
      <c r="P40"/>
      <c r="Q40"/>
      <c r="R40" t="inlineStr">
        <is>
          <t>1.高弹黑科技 耐用不变形
2.双面防滑 舒适触感
3.EVA加厚泡棉</t>
        </is>
      </c>
      <c r="S40" t="inlineStr">
        <is>
          <t>普拉提圈可以增强核心力量、改善柔韧性、塑形减脂、纠正体态。多锻炼 有助于促进全身均衡发展，提升整体肌肉力量和持久力。</t>
        </is>
      </c>
      <c r="T40"/>
      <c r="U40"/>
      <c r="V40"/>
      <c r="W40"/>
      <c r="X40"/>
      <c r="Y40" t="inlineStr">
        <is>
          <t>普拉提圈方形.59指压板26轮知文</t>
        </is>
      </c>
      <c r="Z40"/>
      <c r="AA40"/>
    </row>
    <row r="41" ht="25.5" customHeight="1">
      <c r="A41">
        <v>40</v>
      </c>
      <c r="B41" t="inlineStr">
        <is>
          <t>电子计数跳绳</t>
        </is>
      </c>
      <c r="C41" t="inlineStr">
        <is>
          <t>电子计数跳绳1.jpg,电子计数跳绳2.jpg</t>
        </is>
      </c>
      <c r="D41">
        <v>39</v>
      </c>
      <c r="E41" s="2"/>
      <c r="F41"/>
      <c r="G41" s="2"/>
      <c r="H41"/>
      <c r="I41"/>
      <c r="J41" t="inlineStr">
        <is>
          <t>⚫已下架</t>
        </is>
      </c>
      <c r="K41" t="inlineStr">
        <is>
          <t>钢丝, 硅胶, ABS</t>
        </is>
      </c>
      <c r="L41" t="inlineStr">
        <is>
          <t>粉色, 紫色, 蓝色, 绿色</t>
        </is>
      </c>
      <c r="M41"/>
      <c r="N41" t="inlineStr">
        <is>
          <t>2.8M</t>
        </is>
      </c>
      <c r="O41"/>
      <c r="P41"/>
      <c r="Q41"/>
      <c r="R41" t="inlineStr">
        <is>
          <t>1.高清液晶大屏 升级多种模式
2.60mm大球 内置负重 加速燃脂
3.360°万向精钢轴承 转动流畅不卡壳
4.不绊脚/寿命长 定制款钢丝绳
5.防滑加厚硅胶握把 耐磨/防滑/防汗</t>
        </is>
      </c>
      <c r="S41" t="inlineStr">
        <is>
          <t>经常进行跳绳运动能有效锻炼身体，燃脂健身，增强心肺耐力和身体协调性，专业跳绳训练模式，让运动更有计划~</t>
        </is>
      </c>
      <c r="T41"/>
      <c r="U41" t="inlineStr">
        <is>
          <t>电子计数跳绳1.png</t>
        </is>
      </c>
      <c r="V41"/>
      <c r="W41"/>
      <c r="X41"/>
      <c r="Y41" t="inlineStr">
        <is>
          <t>普拉提圈方形.59指压板26轮知文</t>
        </is>
      </c>
      <c r="Z41"/>
      <c r="AA41"/>
    </row>
    <row r="42" ht="25.5" customHeight="1">
      <c r="A42">
        <v>41</v>
      </c>
      <c r="B42" t="inlineStr">
        <is>
          <t>智能呼啦圈</t>
        </is>
      </c>
      <c r="C42" t="inlineStr">
        <is>
          <t>智能呼啦圈1.jpg,智能呼啦圈2.jpg</t>
        </is>
      </c>
      <c r="D42">
        <v>89</v>
      </c>
      <c r="E42" s="2"/>
      <c r="F42"/>
      <c r="G42" s="2"/>
      <c r="H42"/>
      <c r="I42"/>
      <c r="J42" t="inlineStr">
        <is>
          <t>⚫已下架</t>
        </is>
      </c>
      <c r="K42" t="inlineStr">
        <is>
          <t>ABS</t>
        </is>
      </c>
      <c r="L42" t="inlineStr">
        <is>
          <t>紫色, 白色, 绿色</t>
        </is>
      </c>
      <c r="M42"/>
      <c r="N42"/>
      <c r="O42"/>
      <c r="P42"/>
      <c r="Q42"/>
      <c r="R42" t="inlineStr">
        <is>
          <t>1.可伸缩重力球 惯性滑动轨道
2.凹凸按摩触点 腹部集中按摩
3.360°旋转轮轴 匀速灵活转动
4.节数可自由调节 方便快捷
5.可拆卸磁感应 一键计数</t>
        </is>
      </c>
      <c r="S42" t="inlineStr">
        <is>
          <t>这款智能呼啦圈采用可伸缩重力球与惯性滑动轨道设计，运动轨迹更稳定。内置凹凸按摩触点，随 360° 旋转轮轴匀速转动，实现对腹部的深度集中按摩。节数自由调节设计，轻松适配各种腰围，佩戴舒适。配备可拆卸磁感应装置，一键精准计数，助您科学燃脂，轻松塑造迷人腰线</t>
        </is>
      </c>
      <c r="T42" t="inlineStr">
        <is>
          <t>感应计数器：把呼啦圈戴在腰上，转动时计数器会自动计数，按钮为清零键。
使用一段时间后，如果计数器失灵，可以拆开计数器反面的小螺丝，更换电池。</t>
        </is>
      </c>
      <c r="U42" t="inlineStr">
        <is>
          <t>智能呼啦圈1.mp4,智能呼啦圈2.mp4,智能呼啦圈3.jpg</t>
        </is>
      </c>
      <c r="V42"/>
      <c r="W42"/>
      <c r="X42"/>
      <c r="Y42" t="inlineStr">
        <is>
          <t>普拉提圈方形.59指压板26轮知文</t>
        </is>
      </c>
      <c r="Z42"/>
      <c r="AA42"/>
    </row>
    <row r="43" ht="25.5" customHeight="1">
      <c r="A43">
        <v>42</v>
      </c>
      <c r="B43" t="inlineStr">
        <is>
          <t>8字拉力器</t>
        </is>
      </c>
      <c r="C43" t="inlineStr">
        <is>
          <t>8字拉力器1.jpg,8字拉力器2.jpg</t>
        </is>
      </c>
      <c r="D43">
        <v>29</v>
      </c>
      <c r="E43" s="2"/>
      <c r="F43"/>
      <c r="G43" s="2"/>
      <c r="H43"/>
      <c r="I43"/>
      <c r="J43" t="inlineStr">
        <is>
          <t>⚫已下架</t>
        </is>
      </c>
      <c r="K43" t="inlineStr">
        <is>
          <t>硅胶</t>
        </is>
      </c>
      <c r="L43" t="inlineStr">
        <is>
          <t>粉色, 蓝色</t>
        </is>
      </c>
      <c r="M43"/>
      <c r="N43"/>
      <c r="O43"/>
      <c r="P43"/>
      <c r="Q43"/>
      <c r="R43" t="inlineStr">
        <is>
          <t>1.加宽硅胶带 久拉不变形
2.加粗防滑握柄 舒适握持 开练不夹手
3.莫兰迪配色 青春活力 动感时尚</t>
        </is>
      </c>
      <c r="S43" t="inlineStr">
        <is>
          <t xml:space="preserve">开肩美背、美体塑性、全身锻炼，可以帮助缓解肩颈僵硬和疼痛，通过科学的拉伸和锻炼，改善肩颈健康。 </t>
        </is>
      </c>
      <c r="T43"/>
      <c r="U43" t="inlineStr">
        <is>
          <t>8字拉力器1.jpg</t>
        </is>
      </c>
      <c r="V43"/>
      <c r="W43"/>
      <c r="X43"/>
      <c r="Y43" t="inlineStr">
        <is>
          <t>普拉提圈方形.59指压板26轮知文</t>
        </is>
      </c>
      <c r="Z43"/>
      <c r="AA43"/>
    </row>
    <row r="44" ht="25.5" customHeight="1">
      <c r="A44">
        <v>43</v>
      </c>
      <c r="B44" t="inlineStr">
        <is>
          <t>八头筋膜枪</t>
        </is>
      </c>
      <c r="C44" t="inlineStr">
        <is>
          <t>八头筋膜枪1.png,八头筋膜枪2.png,八头筋膜枪3.jpg</t>
        </is>
      </c>
      <c r="D44">
        <v>99</v>
      </c>
      <c r="E44" s="2"/>
      <c r="F44"/>
      <c r="G44" s="2"/>
      <c r="H44"/>
      <c r="I44"/>
      <c r="J44" t="inlineStr">
        <is>
          <t>⚫已下架</t>
        </is>
      </c>
      <c r="K44" t="inlineStr">
        <is>
          <t>ABS</t>
        </is>
      </c>
      <c r="L44"/>
      <c r="M44"/>
      <c r="N44" t="inlineStr">
        <is>
          <t>290*170*116mm</t>
        </is>
      </c>
      <c r="O44" t="inlineStr">
        <is>
          <t>1.200</t>
        </is>
      </c>
      <c r="P44"/>
      <c r="Q44"/>
      <c r="R44"/>
      <c r="S44"/>
      <c r="T44"/>
      <c r="U44" t="inlineStr">
        <is>
          <t>八头筋膜枪1.png</t>
        </is>
      </c>
      <c r="V44"/>
      <c r="W44"/>
      <c r="X44"/>
      <c r="Y44" t="inlineStr">
        <is>
          <t>普拉提圈方形.59指压板26轮知文</t>
        </is>
      </c>
      <c r="Z44"/>
      <c r="AA44"/>
    </row>
    <row r="45" ht="25.5" customHeight="1">
      <c r="A45">
        <v>44</v>
      </c>
      <c r="B45" t="inlineStr">
        <is>
          <t>足弓训练器</t>
        </is>
      </c>
      <c r="C45" t="inlineStr">
        <is>
          <t>足弓训练器1.jpg,足弓训练器1.png,足弓训练器2.jpg</t>
        </is>
      </c>
      <c r="D45">
        <v>19.9</v>
      </c>
      <c r="E45" s="2" t="str">
        <f>=HYPERLINK("https://haohuo.jinritemai.com/ecommerce/trade/detail/index.html?id=3761545182743495389&amp;origin_type=604", "速力达")</f>
        <v>速力达</v>
      </c>
      <c r="F45" t="inlineStr">
        <is>
          <t>https://haohuo.jinritemai.com/ecommerce/trade/detail/index.html?id=3761545182743495389&amp;origin_type=604</t>
        </is>
      </c>
      <c r="G45" s="2"/>
      <c r="H45"/>
      <c r="I45"/>
      <c r="J45" t="inlineStr">
        <is>
          <t>🟢已上架</t>
        </is>
      </c>
      <c r="K45" t="inlineStr">
        <is>
          <t>TPR</t>
        </is>
      </c>
      <c r="L45" t="inlineStr">
        <is>
          <t>粉色, 紫色, 蓝色</t>
        </is>
      </c>
      <c r="M45"/>
      <c r="N45" t="inlineStr">
        <is>
          <t>10.2*9*6cm</t>
        </is>
      </c>
      <c r="O45" t="inlineStr">
        <is>
          <t>0.235g/对</t>
        </is>
      </c>
      <c r="P45"/>
      <c r="Q45"/>
      <c r="R45" t="inlineStr">
        <is>
          <t>1.仿脚掌设计 精准支撑足弓
2.安全防滑 均匀受力
3.双面防滑 稳固训练更安心</t>
        </is>
      </c>
      <c r="S45" t="inlineStr">
        <is>
          <t>足弓训练器它可以帮助加强足部肌肉、提高平衡能力、增加灵活性，并适用于各个人群。美腿塑形，改善足弓，舒筋通络，收腹瘦腿，改善体态，纠正足部发力，改善XO型腿，改善拇指外翻，物理矫正不伤骨，有效改善扁平足足部问题。如果您希望改善足部力量和稳定性，足弓训练器是非常好的选择。</t>
        </is>
      </c>
      <c r="T45"/>
      <c r="U45"/>
      <c r="V45"/>
      <c r="W45"/>
      <c r="X45"/>
      <c r="Y45" t="inlineStr">
        <is>
          <t>普拉提圈方形.59指压板26轮知文</t>
        </is>
      </c>
      <c r="Z45"/>
      <c r="AA45"/>
    </row>
    <row r="46" ht="25.5" customHeight="1">
      <c r="A46">
        <v>45</v>
      </c>
      <c r="B46" t="inlineStr">
        <is>
          <t>普拉提小球</t>
        </is>
      </c>
      <c r="C46" t="inlineStr">
        <is>
          <t>普拉提小球1.jpg,普拉提小球2.jpg</t>
        </is>
      </c>
      <c r="D46">
        <v>19.9</v>
      </c>
      <c r="E46" s="2" t="str">
        <f>=HYPERLINK("https://haohuo.jinritemai.com/ecommerce/trade/detail/index.html?id=3773795413094695379&amp;origin_type=604", "海智")</f>
        <v>海智</v>
      </c>
      <c r="F46" t="inlineStr">
        <is>
          <t>https://haohuo.jinritemai.com/ecommerce/trade/detail/index.html?id=3773795413094695379&amp;origin_type=604</t>
        </is>
      </c>
      <c r="G46" s="2"/>
      <c r="H46"/>
      <c r="I46"/>
      <c r="J46" t="inlineStr">
        <is>
          <t>🟢已上架</t>
        </is>
      </c>
      <c r="K46" t="inlineStr">
        <is>
          <t>PVC</t>
        </is>
      </c>
      <c r="L46" t="inlineStr">
        <is>
          <t>粉色, 紫色, 蓝色, 灰色</t>
        </is>
      </c>
      <c r="M46"/>
      <c r="N46" t="inlineStr">
        <is>
          <t>直径20cm</t>
        </is>
      </c>
      <c r="O46" t="inlineStr">
        <is>
          <t>承重150斤</t>
        </is>
      </c>
      <c r="P46"/>
      <c r="Q46"/>
      <c r="R46" t="inlineStr">
        <is>
          <t>1.蜂窝防爆黑科技 采用蜂窝微孔发泡结构，加厚球壁 避免运动损伤
2.无压力记忆回弹，均匀分散受力，高弹使身体被托起，避免运动受伤
3.甄选环保pvc材质，不含有害添加物 亲密接触习练，安心无忧
4.表面磨砂处理，增加摩擦力，提升动作稳定性 训练时提升平衡力</t>
        </is>
      </c>
      <c r="S46" t="inlineStr">
        <is>
          <t>普拉提球可以有效的刺激你的腹肌和大腿内侧，
还可以增加你柔切度、力量和耐力，它可以做花样繁多的练习，
非常适合放深度放松身体</t>
        </is>
      </c>
      <c r="T46"/>
      <c r="U46" t="inlineStr">
        <is>
          <t>普拉提小球1.jpg</t>
        </is>
      </c>
      <c r="V46"/>
      <c r="W46"/>
      <c r="X46"/>
      <c r="Y46" t="inlineStr">
        <is>
          <t>普拉提圈方形.59指压板26轮知文</t>
        </is>
      </c>
      <c r="Z46"/>
      <c r="AA46"/>
    </row>
    <row r="47" ht="25.5" customHeight="1">
      <c r="A47">
        <v>46</v>
      </c>
      <c r="B47" t="inlineStr">
        <is>
          <t>二合一踩踏板拉筋轮</t>
        </is>
      </c>
      <c r="C47" t="inlineStr">
        <is>
          <t>二合一踩踏板拉筋轮1.jpg,二合一踩踏板拉筋轮2.jpg</t>
        </is>
      </c>
      <c r="D47">
        <v>39.9</v>
      </c>
      <c r="E47" s="2" t="str">
        <f>=HYPERLINK("https://haohuo.jinritemai.com/ecommerce/trade/detail/index.html?id=3780109949250699706&amp;origin_type=604", "海智")</f>
        <v>海智</v>
      </c>
      <c r="F47" t="inlineStr">
        <is>
          <t>https://haohuo.jinritemai.com/ecommerce/trade/detail/index.html?id=3780109949250699706&amp;origin_type=604</t>
        </is>
      </c>
      <c r="G47" s="2"/>
      <c r="H47"/>
      <c r="I47"/>
      <c r="J47" t="inlineStr">
        <is>
          <t>🟢已上架</t>
        </is>
      </c>
      <c r="K47"/>
      <c r="L47" t="inlineStr">
        <is>
          <t>紫色, 粉色</t>
        </is>
      </c>
      <c r="M47"/>
      <c r="N47"/>
      <c r="O47"/>
      <c r="P47"/>
      <c r="Q47"/>
      <c r="R47" t="inlineStr">
        <is>
          <t>1.多角度掌控 根据所需拉筋效果,调整拉筋角度增加滚动幅度灵活拉筋
2.防滑护垫 缓冲减震
3.磁石按摩垫 深入按摩</t>
        </is>
      </c>
      <c r="S47" t="inlineStr">
        <is>
          <t>这款拉筋板专为高效拉伸设计，支持多角度自由调节，满足从温和到深度的拉筋需求，灵活掌控拉伸幅度。底部配备防滑护垫，不仅稳固防滑，更能有效缓冲减震，保障运动安全。独特的磁石按摩垫设计，在拉伸的同时深入刺激足底穴位，促进血液循环。轻松改善体态，缓解肌肉疲劳，是您居家健康的理想伴侣</t>
        </is>
      </c>
      <c r="T47"/>
      <c r="U47" t="inlineStr">
        <is>
          <t>二合一踩踏板拉筋轮1.jpg</t>
        </is>
      </c>
      <c r="V47"/>
      <c r="W47"/>
      <c r="X47"/>
      <c r="Y47" t="inlineStr">
        <is>
          <t>普拉提圈方形.59指压板26轮知文</t>
        </is>
      </c>
      <c r="Z47"/>
      <c r="AA47"/>
    </row>
    <row r="48" ht="25.5" customHeight="1">
      <c r="A48">
        <v>47</v>
      </c>
      <c r="B48" t="inlineStr">
        <is>
          <t>荞麦三角枕</t>
        </is>
      </c>
      <c r="C48" t="inlineStr">
        <is>
          <t>荞麦三角枕1.jpg,荞麦三角枕2.jpg</t>
        </is>
      </c>
      <c r="D48">
        <v>69.9</v>
      </c>
      <c r="E48" s="2" t="str">
        <f>=HYPERLINK("https://haohuo.jinritemai.com/ecommerce/trade/detail/index.html?id=3780670262169698462&amp;origin_type=604", "海智")</f>
        <v>海智</v>
      </c>
      <c r="F48" t="inlineStr">
        <is>
          <t>https://haohuo.jinritemai.com/ecommerce/trade/detail/index.html?id=3780670262169698462&amp;origin_type=604</t>
        </is>
      </c>
      <c r="G48" s="2"/>
      <c r="H48"/>
      <c r="I48"/>
      <c r="J48" t="inlineStr">
        <is>
          <t>🟢已上架</t>
        </is>
      </c>
      <c r="K48" t="inlineStr">
        <is>
          <t>水洗棉</t>
        </is>
      </c>
      <c r="L48"/>
      <c r="M48"/>
      <c r="N48" t="inlineStr">
        <is>
          <t>35*16cm
自然高度：10-15cm</t>
        </is>
      </c>
      <c r="O48"/>
      <c r="P48"/>
      <c r="Q48"/>
      <c r="R48" t="inlineStr">
        <is>
          <t>1.优质天然养麦壳填充，高温灭菌消杀不易生虫，享受整晚草本舒睡
2.水洗棉亲肤面料，3D编织立体工艺柔软舒适，手感亲肤细腻
3.工学分区设计，睡姿不受限 流动贴合分区散压</t>
        </is>
      </c>
      <c r="S48" t="inlineStr">
        <is>
          <t>这款荞麦组合枕主要有两个核心功能哦，一是通过三角牵引设计
缓解颈椎不适，二是利用荞麦壳的天然特性帮助调理睡眠~
枕头采用大凉山苦荞壳填充，配合亲肤针织棉面料，既能促进血液循环又能凝气安神，很多用户反馈用了以后颈椎酸痛感明显减轻，睡眠质量也提升了呢~</t>
        </is>
      </c>
      <c r="T48"/>
      <c r="U48"/>
      <c r="V48"/>
      <c r="W48"/>
      <c r="X48"/>
      <c r="Y48" t="inlineStr">
        <is>
          <t>普拉提圈方形.59指压板26轮知文</t>
        </is>
      </c>
      <c r="Z48"/>
      <c r="AA48"/>
    </row>
    <row r="49" ht="25.5" customHeight="1">
      <c r="A49">
        <v>48</v>
      </c>
      <c r="B49" t="inlineStr">
        <is>
          <t>软壶铃</t>
        </is>
      </c>
      <c r="C49" t="inlineStr">
        <is>
          <t>软壶铃1.jpg,软壶铃2.jpg</t>
        </is>
      </c>
      <c r="D49">
        <v>58</v>
      </c>
      <c r="E49" s="2" t="str">
        <f>=HYPERLINK("https://haohuo.jinritemai.com/ecommerce/trade/detail/index.html?id=3744136499252298027&amp;origin_type=604", "速力达")</f>
        <v>速力达</v>
      </c>
      <c r="F49" t="inlineStr">
        <is>
          <t>https://haohuo.jinritemai.com/ecommerce/trade/detail/index.html?id=3744136499252298027&amp;origin_type=604</t>
        </is>
      </c>
      <c r="G49" s="2"/>
      <c r="H49"/>
      <c r="I49"/>
      <c r="J49" t="inlineStr">
        <is>
          <t>🟢已上架</t>
        </is>
      </c>
      <c r="K49" t="inlineStr">
        <is>
          <t>PVC, 细铁砂, 石英砂</t>
        </is>
      </c>
      <c r="L49" t="inlineStr">
        <is>
          <t>粉色, 紫色, 蓝色</t>
        </is>
      </c>
      <c r="M49"/>
      <c r="N49" t="inlineStr">
        <is>
          <t>详情页底部</t>
        </is>
      </c>
      <c r="O49"/>
      <c r="P49"/>
      <c r="Q49" t="inlineStr">
        <is>
          <t>≥4kg 送手套</t>
        </is>
      </c>
      <c r="R49" t="inlineStr">
        <is>
          <t>1.人体工学设计更好抓握发力稳
2.软胶底座 防撞减噪 环保材质 安全无异味
3.软弹防撞 触感柔软训练更安心</t>
        </is>
      </c>
      <c r="S49" t="inlineStr">
        <is>
          <t>这款壶铃是软壶铃的呢  防损伤的呢  可以锻炼手臂，腰腹部及臀部等部位，还可以塑形、增强个人力量，提升爆发力。动作简单且实用，坚持实用，效果会更好哦</t>
        </is>
      </c>
      <c r="T49"/>
      <c r="U49" t="inlineStr">
        <is>
          <t>软壶铃1.png,软壶铃2.jpg</t>
        </is>
      </c>
      <c r="V49"/>
      <c r="W49"/>
      <c r="X49"/>
      <c r="Y49" t="inlineStr">
        <is>
          <t>沙袋壶铃哑铃谭志强</t>
        </is>
      </c>
      <c r="Z49"/>
      <c r="AA49"/>
    </row>
    <row r="50" ht="25.5" customHeight="1">
      <c r="A50">
        <v>49</v>
      </c>
      <c r="B50" t="inlineStr">
        <is>
          <t>瑜伽沙袋</t>
        </is>
      </c>
      <c r="C50" t="inlineStr">
        <is>
          <t>瑜伽沙袋1.png,瑜伽沙袋2.jpg</t>
        </is>
      </c>
      <c r="D50">
        <v>29.9</v>
      </c>
      <c r="E50" s="2" t="str">
        <f>=HYPERLINK("https://haohuo.jinritemai.com/ecommerce/trade/detail/index.html?id=3745847058117034833&amp;origin_type=604", "速力达")</f>
        <v>速力达</v>
      </c>
      <c r="F50" t="inlineStr">
        <is>
          <t>https://haohuo.jinritemai.com/ecommerce/trade/detail/index.html?id=3745847058117034833&amp;origin_type=604</t>
        </is>
      </c>
      <c r="G50" s="2" t="str">
        <f>=HYPERLINK("https://haohuo.jinritemai.com/ecommerce/trade/detail/index.html?id=3751378451832111144&amp;origin_type=604", "速力达")</f>
        <v>速力达</v>
      </c>
      <c r="H50" t="inlineStr">
        <is>
          <t>https://haohuo.jinritemai.com/ecommerce/trade/detail/index.html?id=3751378451832111144&amp;origin_type=604</t>
        </is>
      </c>
      <c r="I50"/>
      <c r="J50" t="inlineStr">
        <is>
          <t>🟢已上架</t>
        </is>
      </c>
      <c r="K50"/>
      <c r="L50" t="inlineStr">
        <is>
          <t>粉色, 紫色, 蓝色, 灰色</t>
        </is>
      </c>
      <c r="M50"/>
      <c r="N50" t="inlineStr">
        <is>
          <t>（0.5kg）
28*9cm</t>
        </is>
      </c>
      <c r="O50"/>
      <c r="P50"/>
      <c r="Q50"/>
      <c r="R50" t="inlineStr">
        <is>
          <t>1.甄选复合潜水面料 柔软舒适 透气不磨脚
2.360°环绕包裹 无稳固不下滑 训练更安心
3.新升级彩标设计 年轻有活力</t>
        </is>
      </c>
      <c r="S50" t="inlineStr">
        <is>
          <t>沙袋可以增加负重，有助于提高腿部肌肉的力量和耐力。
-----------------                                                        
亲亲，沙袋可以绑在手腕和脚腕部位进行负重训练，适用于走路、跑步和做动作等运动，通过负重方式达到增肌减脂的效果哦~</t>
        </is>
      </c>
      <c r="T50"/>
      <c r="U50" t="inlineStr">
        <is>
          <t>5ea33e795e60c2695f084fe323163fec.png,2.mp4,1.mp4,绑沙袋.mp4</t>
        </is>
      </c>
      <c r="V50" t="inlineStr">
        <is>
          <t>沙袋合格证.png</t>
        </is>
      </c>
      <c r="W50" t="inlineStr">
        <is>
          <t>志强-沙袋质检报告.jpg</t>
        </is>
      </c>
      <c r="X50"/>
      <c r="Y50" t="inlineStr">
        <is>
          <t>沙袋壶铃哑铃谭志强</t>
        </is>
      </c>
      <c r="Z50"/>
      <c r="AA50"/>
    </row>
    <row r="51" ht="25.5" customHeight="1">
      <c r="A51">
        <v>50</v>
      </c>
      <c r="B51" t="inlineStr">
        <is>
          <t>女士哑铃</t>
        </is>
      </c>
      <c r="C51" t="inlineStr">
        <is>
          <t>女士哑铃1.png,女士哑铃2.jpg</t>
        </is>
      </c>
      <c r="D51">
        <v>49.9</v>
      </c>
      <c r="E51" s="2" t="str">
        <f>=HYPERLINK("https://haohuo.jinritemai.com/ecommerce/trade/detail/index.html?id=3744877557129019673&amp;origin_type=604", "速力达")</f>
        <v>速力达</v>
      </c>
      <c r="F51" t="inlineStr">
        <is>
          <t>https://haohuo.jinritemai.com/ecommerce/trade/detail/index.html?id=3744877557129019673&amp;origin_type=604</t>
        </is>
      </c>
      <c r="G51" s="2"/>
      <c r="H51"/>
      <c r="I51"/>
      <c r="J51" t="inlineStr">
        <is>
          <t>🟢已上架</t>
        </is>
      </c>
      <c r="K51" t="inlineStr">
        <is>
          <t>PE, 高密度铁砂混合物</t>
        </is>
      </c>
      <c r="L51" t="inlineStr">
        <is>
          <t>粉色, 紫色, 蓝色, 绿色</t>
        </is>
      </c>
      <c r="M51"/>
      <c r="N51" t="inlineStr">
        <is>
          <t>内部：水泥混合物</t>
        </is>
      </c>
      <c r="O51" t="inlineStr">
        <is>
          <t>1KG/1.5KG/2KG/3KG</t>
        </is>
      </c>
      <c r="P51"/>
      <c r="Q51"/>
      <c r="R51" t="inlineStr">
        <is>
          <t>1.浸塑工艺包裹金属 有效阻隔汗水、脏污和氧气,减少器材腐蚀氧化
2.一体成型 耐用抗摔 高密度实心填充 足量坚固耐用
3.人体工程手柄贴合手掌弧度久握不酸手,细腻触感,防滑排汗
4.圆滑边角设计防止意外滚动磕碰，平稳放置 更安全</t>
        </is>
      </c>
      <c r="S51" t="inlineStr">
        <is>
          <t>包胶材质防滑静音不磕碰，居家锻炼无噪音～小巧易收纳，瑜伽辅助、瘦手臂、儿童锻炼都适配，男女老少通用</t>
        </is>
      </c>
      <c r="T51" t="inlineStr">
        <is>
          <t>根据锻炼需求选对应重量，单手握持哑铃，可做弯举、平举等动作，锻炼手臂、肩背等部位，瑜伽时可辅助完成塑形体式</t>
        </is>
      </c>
      <c r="U51" t="inlineStr">
        <is>
          <t>女士哑铃1.mp4,女士哑铃2.jpg</t>
        </is>
      </c>
      <c r="V51"/>
      <c r="W51"/>
      <c r="X51"/>
      <c r="Y51" t="inlineStr">
        <is>
          <t>沙袋壶铃哑铃谭志强</t>
        </is>
      </c>
      <c r="Z51"/>
      <c r="AA51"/>
    </row>
    <row r="52" ht="25.5" customHeight="1">
      <c r="A52">
        <v>51</v>
      </c>
      <c r="B52" t="inlineStr">
        <is>
          <t>六角浸塑哑铃</t>
        </is>
      </c>
      <c r="C52" t="inlineStr">
        <is>
          <t>六角浸塑哑铃1.png,六角浸塑哑铃2.png</t>
        </is>
      </c>
      <c r="D52">
        <v>49.9</v>
      </c>
      <c r="E52" s="2" t="str">
        <f>=HYPERLINK("https://haohuo.jinritemai.com/ecommerce/trade/detail/index.html?id=3775855556334584341&amp;origin_type=604", "速力达")</f>
        <v>速力达</v>
      </c>
      <c r="F52" t="inlineStr">
        <is>
          <t>https://haohuo.jinritemai.com/ecommerce/trade/detail/index.html?id=3775855556334584341&amp;origin_type=604</t>
        </is>
      </c>
      <c r="G52" s="2" t="str">
        <f>=HYPERLINK("https://haohuo.jinritemai.com/ecommerce/trade/detail/index.html?id=3800678165194604581&amp;origin_type=604", "速力达")</f>
        <v>速力达</v>
      </c>
      <c r="H52" t="inlineStr">
        <is>
          <t>https://haohuo.jinritemai.com/ecommerce/trade/detail/index.html?id=3800678165194604581&amp;origin_type=604</t>
        </is>
      </c>
      <c r="I52"/>
      <c r="J52" t="inlineStr">
        <is>
          <t>🟢已上架</t>
        </is>
      </c>
      <c r="K52"/>
      <c r="L52" t="inlineStr">
        <is>
          <t>粉色, 紫色, 蓝色, 红色</t>
        </is>
      </c>
      <c r="M52"/>
      <c r="N52" t="inlineStr">
        <is>
          <t>内部：铸铁</t>
        </is>
      </c>
      <c r="O52"/>
      <c r="P52"/>
      <c r="Q52"/>
      <c r="R52" t="inlineStr">
        <is>
          <t>1.六角哑铃，平稳放置，叫收纳省心防止意外滚动产生磕碰
2.平行稳定贴地 支撑稳定，轻松做俯卧撑
3.细腻质感 环保材质 产品通过苯、甲醛有害物质测试不会对人体产生危害
4.舒适握感，防滑性能优异柔软浸塑层有效减少磕碰损伤</t>
        </is>
      </c>
      <c r="S52" t="inlineStr">
        <is>
          <t>这款六角哑铃是居家健身神器！独特六角设计平稳不滚动，收纳省心还能避免意外磕碰。平行贴地支撑稳固，轻松解锁俯卧撑训练。环保材质通过苯、甲醛检测，对人体无害且质感细腻。柔软浸塑层带来舒适握感，防滑性能拉满，还能减少磕碰损伤，安全实用超靠谱～</t>
        </is>
      </c>
      <c r="T52"/>
      <c r="U52" t="inlineStr">
        <is>
          <t>六角浸塑哑铃1.mp4,六角浸塑哑铃2.png,六角浸塑哑铃3.jpg</t>
        </is>
      </c>
      <c r="V52"/>
      <c r="W52"/>
      <c r="X52"/>
      <c r="Y52" t="inlineStr">
        <is>
          <t>沙袋壶铃哑铃谭志强</t>
        </is>
      </c>
      <c r="Z52"/>
      <c r="AA52"/>
    </row>
    <row r="53" ht="25.5" customHeight="1">
      <c r="A53">
        <v>52</v>
      </c>
      <c r="B53" t="inlineStr">
        <is>
          <t>彩标沙袋</t>
        </is>
      </c>
      <c r="C53" t="inlineStr">
        <is>
          <t>彩标沙袋1.jpg,彩标沙袋2.jpg</t>
        </is>
      </c>
      <c r="D53">
        <v>29.9</v>
      </c>
      <c r="E53" s="2" t="str">
        <f>=HYPERLINK("https://haohuo.jinritemai.com/ecommerce/trade/detail/index.html?id=3789380423482736751&amp;origin_type=604", "速力达")</f>
        <v>速力达</v>
      </c>
      <c r="F53" t="inlineStr">
        <is>
          <t>https://haohuo.jinritemai.com/ecommerce/trade/detail/index.html?id=3789380423482736751&amp;origin_type=604</t>
        </is>
      </c>
      <c r="G53" s="2" t="str">
        <f>=HYPERLINK("https://haohuo.jinritemai.com/ecommerce/trade/detail/index.html?id=3789381224393474105&amp;origin_type=604", "速力达-W")</f>
        <v>速力达-W</v>
      </c>
      <c r="H53" t="inlineStr">
        <is>
          <t>https://haohuo.jinritemai.com/ecommerce/trade/detail/index.html?id=3789381224393474105&amp;origin_type=604</t>
        </is>
      </c>
      <c r="I53"/>
      <c r="J53" t="inlineStr">
        <is>
          <t>🟢已上架</t>
        </is>
      </c>
      <c r="K53" t="inlineStr">
        <is>
          <t>莱卡, 涤纶（聚酯纤维）, 细铁砂</t>
        </is>
      </c>
      <c r="L53" t="inlineStr">
        <is>
          <t>粉色, 紫色, 蓝色, 灰色, 黑色</t>
        </is>
      </c>
      <c r="M53"/>
      <c r="N53" t="inlineStr">
        <is>
          <t>规格（长*宽*高）：                                          
0.3㎏    23*8.5*3.5cm
0.5㎏    27*9.5*4cm
0.75㎏  29*10*5.5cm
1㎏       30.5*11*6.5cm
1.5㎏    34*12.5*7.5cm
2㎏       36.5*14.5*7.5cm</t>
        </is>
      </c>
      <c r="O53"/>
      <c r="P53"/>
      <c r="Q53"/>
      <c r="R53" t="inlineStr">
        <is>
          <t>1.甄选复合潜水面料 柔软舒适 透气不磨脚
2.360°环绕包裹 无稳固不下滑 训练更安心
3.新升级彩标设计 年轻有活力</t>
        </is>
      </c>
      <c r="S53" t="inlineStr">
        <is>
          <t>沙袋可以增加负重，有助于提高腿部肌肉的力量和耐力。
-----------------                                                        
亲亲，沙袋可以绑在手腕和脚腕部位进行负重训练，适用于走路、跑步和做动作等运动，通过负重方式达到增肌减脂的效果哦~</t>
        </is>
      </c>
      <c r="T53"/>
      <c r="U53" t="inlineStr">
        <is>
          <t>彩标沙袋1.jpg</t>
        </is>
      </c>
      <c r="V53"/>
      <c r="W53"/>
      <c r="X53"/>
      <c r="Y53" t="inlineStr">
        <is>
          <t>沙袋彩标2025</t>
        </is>
      </c>
      <c r="Z53"/>
      <c r="AA53"/>
    </row>
    <row r="54" ht="25.5" customHeight="1">
      <c r="A54">
        <v>53</v>
      </c>
      <c r="B54" t="inlineStr">
        <is>
          <t>2025 款计数呼啦圈</t>
        </is>
      </c>
      <c r="C54" t="inlineStr">
        <is>
          <t>2025 款计数呼啦圈1.jpg,2025 款计数呼啦圈2.jpg</t>
        </is>
      </c>
      <c r="D54">
        <v>99</v>
      </c>
      <c r="E54" s="2" t="str">
        <f>=HYPERLINK("https://haohuo.jinritemai.com/ecommerce/trade/detail/index.html?id=3751598513247617126&amp;origin_type=604", "速力达")</f>
        <v>速力达</v>
      </c>
      <c r="F54" t="inlineStr">
        <is>
          <t>https://haohuo.jinritemai.com/ecommerce/trade/detail/index.html?id=3751598513247617126&amp;origin_type=604</t>
        </is>
      </c>
      <c r="G54" s="2" t="str">
        <f>=HYPERLINK("https://haohuo.jinritemai.com/ecommerce/trade/detail/index.html?id=3791444713597436068&amp;origin_type=604", "速力达")</f>
        <v>速力达</v>
      </c>
      <c r="H54" t="inlineStr">
        <is>
          <t>https://haohuo.jinritemai.com/ecommerce/trade/detail/index.html?id=3791444713597436068&amp;origin_type=604</t>
        </is>
      </c>
      <c r="I54"/>
      <c r="J54" t="inlineStr">
        <is>
          <t>🟢已上架</t>
        </is>
      </c>
      <c r="K54" t="inlineStr">
        <is>
          <t>ABS</t>
        </is>
      </c>
      <c r="L54" t="inlineStr">
        <is>
          <t>绿色, 紫色</t>
        </is>
      </c>
      <c r="M54" t="inlineStr">
        <is>
          <t>呼啦圈=B-38
护腰带=A-02
组合=B-38+A-02</t>
        </is>
      </c>
      <c r="N54" t="inlineStr">
        <is>
          <t>标配发货：12+2节
上限180斤(封顶18节)</t>
        </is>
      </c>
      <c r="O54" t="inlineStr">
        <is>
          <t>带护腰重：1.33KG
不带护腰带:
1.1KG</t>
        </is>
      </c>
      <c r="P54"/>
      <c r="Q54" t="inlineStr">
        <is>
          <t>小球 重：314.3g
内置：沙包</t>
        </is>
      </c>
      <c r="R54" t="inlineStr">
        <is>
          <t>1.蜂窝弹簧按摩浮点 受力均匀 瘦身效果佳快
2.4轮组高速旋转不卡顿 无噪音纵享丝滑感
3.根据腰围尺寸自由搭配 满足任意腰围 全家适用
4.高韧性加固材料 耐用抗压结实防断
</t>
        </is>
      </c>
      <c r="S54" t="inlineStr">
        <is>
          <t>这款呼啦圈堪称居家瘦身神器！蜂窝弹簧按摩浮点受力均匀，燃脂瘦身高效又舒适；4 轮组高速旋转无卡顿，静音设计纵享丝滑体验。可根据腰围自由调节搭配，适配任意身形，全家都能共用。高韧性加固材质加持，耐用抗压不易断，居家追剧、日常塑形都合适，轻松解锁无负担的瘦腰新方式</t>
        </is>
      </c>
      <c r="T54" t="inlineStr">
        <is>
          <t>感应计数器：把呼啦圈戴在腰上，转动时计数器会自动计数，按钮为清零键。
使用一段时间后，如果计数器失灵，可以拆开计数器反面的小螺丝，更换电池。</t>
        </is>
      </c>
      <c r="U54" t="inlineStr">
        <is>
          <t>2025 款计数呼啦圈1.jpg,2025 款计数呼啦圈2.mp4,2025 款计数呼啦圈3.jpg</t>
        </is>
      </c>
      <c r="V54" t="inlineStr">
        <is>
          <t>呼啦圈合格证.jpg</t>
        </is>
      </c>
      <c r="W54" t="inlineStr">
        <is>
          <t>2025计数呼啦圈质检报告.png</t>
        </is>
      </c>
      <c r="X54"/>
      <c r="Y54" t="inlineStr">
        <is>
          <t>刘学生025呼啦圈轴32蹬-9818</t>
        </is>
      </c>
      <c r="Z54"/>
      <c r="AA54"/>
    </row>
    <row r="55" ht="25.5" customHeight="1">
      <c r="A55">
        <v>54</v>
      </c>
      <c r="B55" t="inlineStr">
        <is>
          <t>脚蹬拉力器</t>
        </is>
      </c>
      <c r="C55" t="inlineStr">
        <is>
          <t>脚蹬拉力器1.png,脚蹬拉力器2.jpg</t>
        </is>
      </c>
      <c r="D55">
        <v>19.9</v>
      </c>
      <c r="E55" s="2" t="str">
        <f>=HYPERLINK("https://haohuo.jinritemai.com/ecommerce/trade/detail/index.html?id=3748420754774032506&amp;origin_type=604", "速力达")</f>
        <v>速力达</v>
      </c>
      <c r="F55" t="inlineStr">
        <is>
          <t>https://haohuo.jinritemai.com/ecommerce/trade/detail/index.html?id=3748420754774032506&amp;origin_type=604</t>
        </is>
      </c>
      <c r="G55" s="2"/>
      <c r="H55"/>
      <c r="I55"/>
      <c r="J55" t="inlineStr">
        <is>
          <t>🟢已上架</t>
        </is>
      </c>
      <c r="K55" t="inlineStr">
        <is>
          <t>TPE软胶, pp, NBR, PVC</t>
        </is>
      </c>
      <c r="L55" t="inlineStr">
        <is>
          <t>粉色, 紫色, 蓝色</t>
        </is>
      </c>
      <c r="M55" t="inlineStr">
        <is>
          <t>A-03</t>
        </is>
      </c>
      <c r="N55" t="inlineStr">
        <is>
          <t>40*23cm</t>
        </is>
      </c>
      <c r="O55" t="inlineStr">
        <is>
          <t>四管：178g/拉力：20磅
六管：190g/拉力30磅
八管：206g/40磅</t>
        </is>
      </c>
      <c r="P55"/>
      <c r="Q55"/>
      <c r="R55" t="inlineStr">
        <is>
          <t>1.天然乳胶材质 更具耐磨性 不易拉断 拉力更强
2.吸汗泡棉 防滑材质 弹性手感 柔软护手
3.高品质 高回弹 更耐用 条纹设计更防滑</t>
        </is>
      </c>
      <c r="S55" t="inlineStr">
        <is>
          <t>这款脚蹬拉力器是居家健身好物，核心采用天然乳胶材质，拉力强劲且耐磨不易拉断，耐用性拉满。吸汗泡棉打造的手柄柔软护手，弹性手感搭配条纹防滑设计，运动时稳握不打滑。高品质材质带来出色高回弹，发力顺畅不拖沓。小巧不占地，能锻炼腰腹、臀腿、手臂等多部位，新手入门到进阶训练都适配，轻松开启高效塑形之旅</t>
        </is>
      </c>
      <c r="T55"/>
      <c r="U55" t="inlineStr">
        <is>
          <t>脚蹬拉力器1.jpg,脚蹬拉力器2.jpg</t>
        </is>
      </c>
      <c r="V55"/>
      <c r="W55"/>
      <c r="X55"/>
      <c r="Y55" t="inlineStr">
        <is>
          <t>刘学生025呼啦圈轴32蹬-9818</t>
        </is>
      </c>
      <c r="Z55"/>
      <c r="AA55"/>
    </row>
    <row r="56" ht="25.5" customHeight="1">
      <c r="A56">
        <v>55</v>
      </c>
      <c r="B56" t="inlineStr">
        <is>
          <t>燕麦麸皮</t>
        </is>
      </c>
      <c r="C56" t="inlineStr">
        <is>
          <t>燕麦麸皮1.png,燕麦麸皮2.jpg</t>
        </is>
      </c>
      <c r="D56">
        <v>16.9</v>
      </c>
      <c r="E56" s="2" t="str">
        <f>=HYPERLINK("https://haohuo.jinritemai.com/ecommerce/trade/detail/index.html?id=3755797288367292881&amp;origin_type=604", "速力达")</f>
        <v>速力达</v>
      </c>
      <c r="F56" t="inlineStr">
        <is>
          <t>https://haohuo.jinritemai.com/ecommerce/trade/detail/index.html?id=3755797288367292881&amp;origin_type=604</t>
        </is>
      </c>
      <c r="G56" s="2"/>
      <c r="H56"/>
      <c r="I56"/>
      <c r="J56" t="inlineStr">
        <is>
          <t>🟢已上架</t>
        </is>
      </c>
      <c r="K56" t="inlineStr">
        <is>
          <t>燕麦麸皮</t>
        </is>
      </c>
      <c r="L56" t="inlineStr">
        <is>
          <t>罐</t>
        </is>
      </c>
      <c r="M56"/>
      <c r="N56" t="inlineStr">
        <is>
          <t>12个月</t>
        </is>
      </c>
      <c r="O56" t="inlineStr">
        <is>
          <t>0.500</t>
        </is>
      </c>
      <c r="P56"/>
      <c r="Q56"/>
      <c r="R56" t="inlineStr">
        <is>
          <t>1.麦香浓郁 软糯清香 
2.低温短时烘焙 保留更多营养
3.无添加 无防腐剂 高标准保鲜加工</t>
        </is>
      </c>
      <c r="S56" t="inlineStr">
        <is>
          <t>这款燕麦麸皮选用优质燕麦原料，经过精细筛分取麸皮部分，采用低温短时烘焙工艺处理，充分留存谷物本身的自然麦香。粉质细腻绵软，温水、牛奶冲泡即可食用，免煮操作简单，日常作为谷物冲饮十分便捷。</t>
        </is>
      </c>
      <c r="T56" t="inlineStr">
        <is>
          <t>您可先用热水没过燕麦麸搅拌30s，吸收膨胀后，即可食用。可做代餐哦。也可将燕麦麸皮加入米饭、粥、酸奶烤吐司里哦~</t>
        </is>
      </c>
      <c r="U56"/>
      <c r="V56"/>
      <c r="W56"/>
      <c r="X56"/>
      <c r="Y56" t="inlineStr">
        <is>
          <t>鲸鱼啡特燕麦麸皮店管家对接</t>
        </is>
      </c>
      <c r="Z56"/>
      <c r="AA56"/>
    </row>
    <row r="57" ht="25.5" customHeight="1">
      <c r="A57">
        <v>56</v>
      </c>
      <c r="B57" t="inlineStr">
        <is>
          <t>海参小米粥</t>
        </is>
      </c>
      <c r="C57" t="inlineStr">
        <is>
          <t>海参小米粥1.png,海参小米粥2.png</t>
        </is>
      </c>
      <c r="D57">
        <v>29.9</v>
      </c>
      <c r="E57" s="2"/>
      <c r="F57"/>
      <c r="G57" s="2"/>
      <c r="H57"/>
      <c r="I57"/>
      <c r="J57" t="inlineStr">
        <is>
          <t>⚫已下架</t>
        </is>
      </c>
      <c r="K57" t="inlineStr">
        <is>
          <t>小米粉、玉米粉、燕麦片、山药粉、海参粉(添加量1.8%)，人参粉(人工种植5年及5年以下)</t>
        </is>
      </c>
      <c r="L57" t="inlineStr">
        <is>
          <t>罐</t>
        </is>
      </c>
      <c r="M57"/>
      <c r="N57" t="inlineStr">
        <is>
          <t>12个月</t>
        </is>
      </c>
      <c r="O57" t="inlineStr">
        <is>
          <t>0.400</t>
        </is>
      </c>
      <c r="P57"/>
      <c r="Q57"/>
      <c r="R57"/>
      <c r="S57"/>
      <c r="T57" t="inlineStr">
        <is>
          <t>食用方法:取3-5勺本产品加入碗中、倒入温开水冲泡搅拌</t>
        </is>
      </c>
      <c r="U57"/>
      <c r="V57"/>
      <c r="W57"/>
      <c r="X57"/>
      <c r="Y57" t="inlineStr">
        <is>
          <t>鲸鱼啡特燕麦麸皮店管家对接</t>
        </is>
      </c>
      <c r="Z57"/>
      <c r="AA57"/>
    </row>
    <row r="58" ht="25.5" customHeight="1">
      <c r="A58">
        <v>57</v>
      </c>
      <c r="B58" t="inlineStr">
        <is>
          <t>阿胶红养粉</t>
        </is>
      </c>
      <c r="C58" t="inlineStr">
        <is>
          <t>阿胶红养粉1.png</t>
        </is>
      </c>
      <c r="D58">
        <v>29.9</v>
      </c>
      <c r="E58" s="2" t="str">
        <f>=HYPERLINK("https://haohuo.jinritemai.com/ecommerce/trade/detail/index.html?id=3760230940014674379&amp;origin_type=604", "速力达")</f>
        <v>速力达</v>
      </c>
      <c r="F58" t="inlineStr">
        <is>
          <t>https://haohuo.jinritemai.com/ecommerce/trade/detail/index.html?id=3760230940014674379&amp;origin_type=604</t>
        </is>
      </c>
      <c r="G58" s="2"/>
      <c r="H58"/>
      <c r="I58"/>
      <c r="J58" t="inlineStr">
        <is>
          <t>🟢已上架</t>
        </is>
      </c>
      <c r="K58" t="inlineStr">
        <is>
          <t>红豆粉、红米粉、红枣粉、木糖醇、全脂乳粉、燕麦粉、铁棍山药粉、花生粉、枸杞粉、阿胶粉(添加量多1.2%)、重瓣红玫瑰花粉(添加量&gt;196)</t>
        </is>
      </c>
      <c r="L58" t="inlineStr">
        <is>
          <t>罐</t>
        </is>
      </c>
      <c r="M58"/>
      <c r="N58" t="inlineStr">
        <is>
          <t>12个月</t>
        </is>
      </c>
      <c r="O58" t="inlineStr">
        <is>
          <t>0.500</t>
        </is>
      </c>
      <c r="P58"/>
      <c r="Q58"/>
      <c r="R58"/>
      <c r="S58"/>
      <c r="T58" t="inlineStr">
        <is>
          <t>取3-4勺本产品于容器中，加入65C左右的温水，加速搅拌，搅拌均匀，静置3-5分钟即可食用</t>
        </is>
      </c>
      <c r="U58"/>
      <c r="V58"/>
      <c r="W58"/>
      <c r="X58"/>
      <c r="Y58" t="inlineStr">
        <is>
          <t>鲸鱼啡特燕麦麸皮店管家对接</t>
        </is>
      </c>
      <c r="Z58"/>
      <c r="AA58"/>
    </row>
    <row r="59" ht="25.5" customHeight="1">
      <c r="A59">
        <v>58</v>
      </c>
      <c r="B59" t="inlineStr">
        <is>
          <t>黑芝麻核桃黑豆桑葚粉</t>
        </is>
      </c>
      <c r="C59" t="inlineStr">
        <is>
          <t>黑芝麻核桃黑豆桑葚粉1.jpg</t>
        </is>
      </c>
      <c r="D59">
        <v>29.9</v>
      </c>
      <c r="E59" s="2" t="str">
        <f>=HYPERLINK("https://haohuo.jinritemai.com/ecommerce/trade/detail/index.html?id=3760223825401349042&amp;origin_type=604", "速力达")</f>
        <v>速力达</v>
      </c>
      <c r="F59" t="inlineStr">
        <is>
          <t>https://haohuo.jinritemai.com/ecommerce/trade/detail/index.html?id=3760223825401349042&amp;origin_type=604</t>
        </is>
      </c>
      <c r="G59" s="2" t="str">
        <f>=HYPERLINK("https://haohuo.jinritemai.com/ecommerce/trade/detail/index.html?id=3796787307059740732&amp;origin_type=604", "速力达")</f>
        <v>速力达</v>
      </c>
      <c r="H59" t="inlineStr">
        <is>
          <t>https://haohuo.jinritemai.com/ecommerce/trade/detail/index.html?id=3796787307059740732&amp;origin_type=604</t>
        </is>
      </c>
      <c r="I59"/>
      <c r="J59" t="inlineStr">
        <is>
          <t>⚫已下架</t>
        </is>
      </c>
      <c r="K59" t="inlineStr">
        <is>
          <t>黑大豆、黑芝麻、黑米、糙米、燕麦片、红枣干、核桃仁、桑葚粉、山药、奇亚籽、黑藜麦、黑糯米</t>
        </is>
      </c>
      <c r="L59" t="inlineStr">
        <is>
          <t>罐</t>
        </is>
      </c>
      <c r="M59"/>
      <c r="N59" t="inlineStr">
        <is>
          <t>12个月</t>
        </is>
      </c>
      <c r="O59"/>
      <c r="P59"/>
      <c r="Q59"/>
      <c r="R59" t="inlineStr">
        <is>
          <t>1.才用真空研磨工艺 精细研磨 味道香醇 口感顺滑
2.7重黑食材，以黑养黑，含蛋白质等营养，食力足！</t>
        </is>
      </c>
      <c r="S59" t="inlineStr">
        <is>
          <t>本款黑芝麻核桃黑豆桑葚粉精选 7 种黑色谷物食材搭配研磨，遵循传统谷物搭配思路，精细研磨成细腻粉末。
采用温和烘焙工艺处理原料，更好留存谷物本身醇香，粉质细腻易冲泡，温水、热牛奶均可调配，冲开后口感绵密醇厚，自带浓郁谷物焦香。</t>
        </is>
      </c>
      <c r="T59" t="inlineStr">
        <is>
          <t>1、取本品3-4勺到入容器中;
2、加入约100ml65C以上饮用水
3、搅拌均匀即可食用</t>
        </is>
      </c>
      <c r="U59"/>
      <c r="V59"/>
      <c r="W59"/>
      <c r="X59"/>
      <c r="Y59" t="inlineStr">
        <is>
          <t>鲸鱼啡特燕麦麸皮店管家对接</t>
        </is>
      </c>
      <c r="Z59"/>
      <c r="AA59"/>
    </row>
    <row r="60" ht="25.5" customHeight="1">
      <c r="A60">
        <v>59</v>
      </c>
      <c r="B60" t="inlineStr">
        <is>
          <t>椰奶益生菌麦片-蛮小萌</t>
        </is>
      </c>
      <c r="C60" t="inlineStr">
        <is>
          <t>椰奶益生菌麦片-蛮小萌1.jpg</t>
        </is>
      </c>
      <c r="D60">
        <v>19.9</v>
      </c>
      <c r="E60" s="2" t="str">
        <f>=HYPERLINK("https://haohuo.jinritemai.com/ecommerce/trade/detail/index.html?id=3760272141501726960&amp;origin_type=604", "速力达")</f>
        <v>速力达</v>
      </c>
      <c r="F60" t="inlineStr">
        <is>
          <t>https://haohuo.jinritemai.com/ecommerce/trade/detail/index.html?id=3760272141501726960&amp;origin_type=604</t>
        </is>
      </c>
      <c r="G60" s="2"/>
      <c r="H60"/>
      <c r="I60"/>
      <c r="J60" t="inlineStr">
        <is>
          <t>🟢已上架</t>
        </is>
      </c>
      <c r="K60" t="inlineStr">
        <is>
          <t>复合麦片(小麦、玉米、大豆、麦芽提取物、食用盐)、玉米片(玉米粉、食用盐)、红枣粉、燕麦片、海藻糖、全脂乳粉(添加量5%)、椰浆粉(添加量3%)、益生菌粉(凝结芽孢杆菌BC99)1%、香精(添加量0%)、蔗糖(添加量0%)</t>
        </is>
      </c>
      <c r="L60" t="inlineStr">
        <is>
          <t>盒</t>
        </is>
      </c>
      <c r="M60"/>
      <c r="N60" t="inlineStr">
        <is>
          <t>25g*12袋
12个月</t>
        </is>
      </c>
      <c r="O60" t="inlineStr">
        <is>
          <t>0.300</t>
        </is>
      </c>
      <c r="P60"/>
      <c r="Q60"/>
      <c r="R60" t="inlineStr">
        <is>
          <t xml:space="preserve">1.科学营养配比，膳食纤维 益生菌
2.零香精 零蔗糖 零反式脂肪酸
3.饱腹不怕饿 即食高效早餐 </t>
        </is>
      </c>
      <c r="S60" t="inlineStr">
        <is>
          <t>这款是椰奶味的，微微甜，冷热都可以冲泡哦 
·产品0香精、0蔗糖添加、0反式脂肪酸，散装称重每包大约25g，每包大概102大卡左右</t>
        </is>
      </c>
      <c r="T60" t="inlineStr">
        <is>
          <t>建议加入100--200ml水或牛奶冲泡三分钟，搅拌均匀后即可食用</t>
        </is>
      </c>
      <c r="U60"/>
      <c r="V60"/>
      <c r="W60"/>
      <c r="X60"/>
      <c r="Y60" t="inlineStr">
        <is>
          <t>鲸鱼啡特燕麦麸皮店管家对接</t>
        </is>
      </c>
      <c r="Z60"/>
      <c r="AA60"/>
    </row>
    <row r="61" ht="25.5" customHeight="1">
      <c r="A61">
        <v>60</v>
      </c>
      <c r="B61" t="inlineStr">
        <is>
          <t>茯苓麦芽茶</t>
        </is>
      </c>
      <c r="C61" t="inlineStr">
        <is>
          <t>茯苓麦芽茶1.jpg,茯苓麦芽茶2.jpg</t>
        </is>
      </c>
      <c r="D61">
        <v>19.9</v>
      </c>
      <c r="E61" s="2" t="str">
        <f>=HYPERLINK("https://haohuo.jinritemai.com/ecommerce/trade/detail/index.html?id=3764889774775730415&amp;origin_type=604", "速力达")</f>
        <v>速力达</v>
      </c>
      <c r="F61" t="inlineStr">
        <is>
          <t>https://haohuo.jinritemai.com/ecommerce/trade/detail/index.html?id=3764889774775730415&amp;origin_type=604</t>
        </is>
      </c>
      <c r="G61" s="2"/>
      <c r="H61"/>
      <c r="I61"/>
      <c r="J61" t="inlineStr">
        <is>
          <t>🟢已上架</t>
        </is>
      </c>
      <c r="K61"/>
      <c r="L61" t="inlineStr">
        <is>
          <t>包</t>
        </is>
      </c>
      <c r="M61"/>
      <c r="N61" t="inlineStr">
        <is>
          <t>5g*30包</t>
        </is>
      </c>
      <c r="O61" t="inlineStr">
        <is>
          <t>150g</t>
        </is>
      </c>
      <c r="P61"/>
      <c r="Q61"/>
      <c r="R61"/>
      <c r="S61"/>
      <c r="T61" t="inlineStr">
        <is>
          <t>推荐食用方法
冲泡热煮 饮养两相宜
取本品一包
倒入600ML热水
静待五分钟即可饮用
取本品两包
倒入1000ML热水
壶煮五分钟左右即可</t>
        </is>
      </c>
      <c r="U61"/>
      <c r="V61"/>
      <c r="W61"/>
      <c r="X61"/>
      <c r="Y61" t="inlineStr">
        <is>
          <t>2172药济天下1v1服务</t>
        </is>
      </c>
      <c r="Z61"/>
      <c r="AA61"/>
    </row>
    <row r="62" ht="25.5" customHeight="1">
      <c r="A62">
        <v>61</v>
      </c>
      <c r="B62" t="inlineStr">
        <is>
          <t>茯苓桑叶决明子组合</t>
        </is>
      </c>
      <c r="C62" t="inlineStr">
        <is>
          <t>茯苓桑叶决明子组合1.jpg,茯苓桑叶决明子组合2.jpg</t>
        </is>
      </c>
      <c r="D62">
        <v>29.9</v>
      </c>
      <c r="E62" s="2"/>
      <c r="F62"/>
      <c r="G62" s="2"/>
      <c r="H62"/>
      <c r="I62"/>
      <c r="J62" t="inlineStr">
        <is>
          <t>⚫已下架</t>
        </is>
      </c>
      <c r="K62" t="inlineStr">
        <is>
          <t>茯苓、桑叶、赤小豆、薏苡仁、栀子、橘皮、苦荞、大麦、决明子</t>
        </is>
      </c>
      <c r="L62" t="inlineStr">
        <is>
          <t>包</t>
        </is>
      </c>
      <c r="M62"/>
      <c r="N62" t="inlineStr">
        <is>
          <t>5g*20包</t>
        </is>
      </c>
      <c r="O62" t="inlineStr">
        <is>
          <t>0.100</t>
        </is>
      </c>
      <c r="P62"/>
      <c r="Q62"/>
      <c r="R62"/>
      <c r="S62"/>
      <c r="T62" t="inlineStr">
        <is>
          <t>1.投茶取一包倒入杯中
2.注水注入85C以上
3.饮用静候3-5分钟</t>
        </is>
      </c>
      <c r="U62"/>
      <c r="V62"/>
      <c r="W62"/>
      <c r="X62"/>
      <c r="Y62" t="inlineStr">
        <is>
          <t>2172药济天下1v1服务</t>
        </is>
      </c>
      <c r="Z62"/>
      <c r="AA62"/>
    </row>
    <row r="63" ht="25.5" customHeight="1">
      <c r="A63">
        <v>62</v>
      </c>
      <c r="B63" t="inlineStr">
        <is>
          <t>无糖电解质青柠薄荷固体饮料</t>
        </is>
      </c>
      <c r="C63" t="inlineStr">
        <is>
          <t>无糖电解质青柠薄荷固体饮料2.jpg,无糖电解质青柠薄荷固体饮料1.jpg</t>
        </is>
      </c>
      <c r="D63">
        <v>19.9</v>
      </c>
      <c r="E63" s="2" t="str">
        <f>=HYPERLINK("https://haohuo.jinritemai.com/ecommerce/trade/detail/index.html?id=3760068227225485506&amp;origin_type=604", "速力达")</f>
        <v>速力达</v>
      </c>
      <c r="F63" t="inlineStr">
        <is>
          <t>https://haohuo.jinritemai.com/ecommerce/trade/detail/index.html?id=3760068227225485506&amp;origin_type=604</t>
        </is>
      </c>
      <c r="G63" s="2"/>
      <c r="H63"/>
      <c r="I63"/>
      <c r="J63" t="inlineStr">
        <is>
          <t>🟢已上架</t>
        </is>
      </c>
      <c r="K63"/>
      <c r="L63" t="inlineStr">
        <is>
          <t>盒</t>
        </is>
      </c>
      <c r="M63"/>
      <c r="N63" t="inlineStr">
        <is>
          <t>3g*15条</t>
        </is>
      </c>
      <c r="O63" t="inlineStr">
        <is>
          <t>0.045</t>
        </is>
      </c>
      <c r="P63"/>
      <c r="Q63"/>
      <c r="R63" t="inlineStr">
        <is>
          <t>1.即冲即饮 快速补给 持续充能
2.精心配比 真材实料
3.低糖轻负担 0糖0脂0色素
4.多维协同：6种矿物质 11种维生素 牛磺酸</t>
        </is>
      </c>
      <c r="S63" t="inlineStr">
        <is>
          <t>日常出汗，运动中和运动后，沐浴，劳动
都可以喝的哦，日常补充电解质这款也是不错的选择呢。
天气炎热，容易中暑，特采用体液等渗配方可以
快速有效补充水分和电解质，预防中暑必备哦</t>
        </is>
      </c>
      <c r="T63" t="inlineStr">
        <is>
          <t>一盒15条，一条3g，共45g。
冲泡方式:  建议用200ml以下40度的水冲泡，
具体冲泡方法可根据个人口味调整，若需其他帮助请随时告知。
用量：亲，每日不建议饮用超过1000ML  粉末不建议超过5袋哦</t>
        </is>
      </c>
      <c r="U63"/>
      <c r="V63"/>
      <c r="W63"/>
      <c r="X63"/>
      <c r="Y63" t="inlineStr">
        <is>
          <t>2172药济天下1v1服务</t>
        </is>
      </c>
      <c r="Z63"/>
      <c r="AA63"/>
    </row>
    <row r="64" ht="25.5" customHeight="1">
      <c r="A64">
        <v>63</v>
      </c>
      <c r="B64" t="inlineStr">
        <is>
          <t>流苏款艾草锤</t>
        </is>
      </c>
      <c r="C64" t="inlineStr">
        <is>
          <t>流苏款艾草锤1.png,流苏款艾草锤2.jpg</t>
        </is>
      </c>
      <c r="D64">
        <v>29.9</v>
      </c>
      <c r="E64" s="2" t="str">
        <f>=HYPERLINK("https://haohuo.jinritemai.com/ecommerce/trade/detail/index.html?id=3758960435043369362&amp;origin_type=604", "速力达")</f>
        <v>速力达</v>
      </c>
      <c r="F64" t="inlineStr">
        <is>
          <t>https://haohuo.jinritemai.com/ecommerce/trade/detail/index.html?id=3758960435043369362&amp;origin_type=604</t>
        </is>
      </c>
      <c r="G64" s="2"/>
      <c r="H64"/>
      <c r="I64"/>
      <c r="J64" t="inlineStr">
        <is>
          <t>🟢已上架</t>
        </is>
      </c>
      <c r="K64"/>
      <c r="L64" t="inlineStr">
        <is>
          <t>粉色, 紫色, 绿色</t>
        </is>
      </c>
      <c r="M64"/>
      <c r="N64" t="inlineStr">
        <is>
          <t>香包:30*7cm 艾草锤:长26cm</t>
        </is>
      </c>
      <c r="O64"/>
      <c r="P64"/>
      <c r="Q64"/>
      <c r="R64" t="inlineStr">
        <is>
          <t>1.端午采摘艾草 搭配多种植物填充
2.粗绳绑扎 握感趁手 缠绕结实，防滑吸汗人工编织，结实耐用
3.多部位适用 从头到脚 全身敲敲打打</t>
        </is>
      </c>
      <c r="S64" t="inlineStr">
        <is>
          <t>采用艾草填充，搭配多种植物成分。香包30*7cm 艾草锤长26cm。粗绳绑扎 握感趁手 缠绕结实，防滑吸汗人工编织。从头到脚，哪里不舒服就拍哪里，适合全身敲敲打打。</t>
        </is>
      </c>
      <c r="T64"/>
      <c r="U64" t="inlineStr">
        <is>
          <t>流苏款艾草锤1.jpg</t>
        </is>
      </c>
      <c r="V64"/>
      <c r="W64"/>
      <c r="X64"/>
      <c r="Y64" t="inlineStr">
        <is>
          <t>核桃，丝绸拍打袋代发</t>
        </is>
      </c>
      <c r="Z64"/>
      <c r="AA64"/>
    </row>
    <row r="65" ht="25.5" customHeight="1">
      <c r="A65">
        <v>64</v>
      </c>
      <c r="B65" t="inlineStr">
        <is>
          <t>核桃拍打袋</t>
        </is>
      </c>
      <c r="C65" t="inlineStr">
        <is>
          <t>核桃拍打袋1.jpg</t>
        </is>
      </c>
      <c r="D65">
        <v>29.9</v>
      </c>
      <c r="E65" s="2" t="str">
        <f>=HYPERLINK("https://haohuo.jinritemai.com/ecommerce/trade/detail/index.html?id=3748753219652813023&amp;origin_type=604", "速力达")</f>
        <v>速力达</v>
      </c>
      <c r="F65" t="inlineStr">
        <is>
          <t>https://haohuo.jinritemai.com/ecommerce/trade/detail/index.html?id=3748753219652813023&amp;origin_type=604</t>
        </is>
      </c>
      <c r="G65" s="2"/>
      <c r="H65"/>
      <c r="I65"/>
      <c r="J65" t="inlineStr">
        <is>
          <t>🟢已上架</t>
        </is>
      </c>
      <c r="K65"/>
      <c r="L65" t="inlineStr">
        <is>
          <t>红色, 蓝色</t>
        </is>
      </c>
      <c r="M65"/>
      <c r="N65" t="inlineStr">
        <is>
          <t>95*14cm</t>
        </is>
      </c>
      <c r="O65"/>
      <c r="P65"/>
      <c r="Q65"/>
      <c r="R65" t="inlineStr">
        <is>
          <t>1.加厚绒布面料 拍打舒适 坚固耐用
2.精选胡桃 圆润光滑 颗粒饱满
</t>
        </is>
      </c>
      <c r="S65" t="inlineStr">
        <is>
          <t>外表采用加厚天鹅绒面料，手感舒适，坚固耐用，内里采用精选胡桃颗粒。拍打覆盖面积大、速度大，刚柔并济，既不伤人，又能起到拍打按摩的作用，能够促进循环 锻炼身体 拍打经络 活动关节。</t>
        </is>
      </c>
      <c r="T65" t="inlineStr">
        <is>
          <t>产品尺寸95cm*14cm。
拍打时通过调整核桃珠子运动，由少到多逐渐加大。拍打肩部、腰部、腿部、背部等部位。</t>
        </is>
      </c>
      <c r="U65" t="inlineStr">
        <is>
          <t>核桃拍打袋1.jpg</t>
        </is>
      </c>
      <c r="V65"/>
      <c r="W65"/>
      <c r="X65"/>
      <c r="Y65" t="inlineStr">
        <is>
          <t>核桃，丝绸拍打袋代发</t>
        </is>
      </c>
      <c r="Z65"/>
      <c r="AA65"/>
    </row>
    <row r="66" ht="25.5" customHeight="1">
      <c r="A66">
        <v>65</v>
      </c>
      <c r="B66" t="inlineStr">
        <is>
          <t>增强版呼吸哑铃</t>
        </is>
      </c>
      <c r="C66" t="inlineStr">
        <is>
          <t>增强版呼吸哑铃1.jpg,增强版呼吸哑铃2.jpg</t>
        </is>
      </c>
      <c r="D66">
        <v>49.9</v>
      </c>
      <c r="E66" s="2"/>
      <c r="F66"/>
      <c r="G66" s="2"/>
      <c r="H66"/>
      <c r="I66"/>
      <c r="J66" t="inlineStr">
        <is>
          <t>⚫已下架</t>
        </is>
      </c>
      <c r="K66" t="inlineStr">
        <is>
          <t>PCTG, PMMA, pp</t>
        </is>
      </c>
      <c r="L66" t="inlineStr">
        <is>
          <t>个</t>
        </is>
      </c>
      <c r="M66"/>
      <c r="N66"/>
      <c r="O66"/>
      <c r="P66"/>
      <c r="Q66"/>
      <c r="R66"/>
      <c r="S66"/>
      <c r="T66"/>
      <c r="U66"/>
      <c r="V66"/>
      <c r="W66"/>
      <c r="X66"/>
      <c r="Y66" t="inlineStr">
        <is>
          <t>环形按摩滚轮&amp;液态指压板</t>
        </is>
      </c>
      <c r="Z66"/>
      <c r="AA66"/>
    </row>
    <row r="67" ht="25.5" customHeight="1">
      <c r="A67">
        <v>66</v>
      </c>
      <c r="B67" t="inlineStr">
        <is>
          <t>六球滚轮</t>
        </is>
      </c>
      <c r="C67" t="inlineStr">
        <is>
          <t>六球滚轮1.png,六球滚轮2.jpg</t>
        </is>
      </c>
      <c r="D67">
        <v>19.9</v>
      </c>
      <c r="E67" s="2"/>
      <c r="F67"/>
      <c r="G67" s="2"/>
      <c r="H67"/>
      <c r="I67"/>
      <c r="J67" t="inlineStr">
        <is>
          <t>⚫已下架</t>
        </is>
      </c>
      <c r="K67"/>
      <c r="L67" t="inlineStr">
        <is>
          <t>粉色, 蓝色</t>
        </is>
      </c>
      <c r="M67"/>
      <c r="N67" t="inlineStr">
        <is>
          <t>34*20cm</t>
        </is>
      </c>
      <c r="O67"/>
      <c r="P67"/>
      <c r="Q67"/>
      <c r="R67"/>
      <c r="S67"/>
      <c r="T67"/>
      <c r="U67"/>
      <c r="V67"/>
      <c r="W67"/>
      <c r="X67"/>
      <c r="Y67" t="inlineStr">
        <is>
          <t>环形按摩滚轮&amp;液态指压板</t>
        </is>
      </c>
      <c r="Z67"/>
      <c r="AA67"/>
    </row>
    <row r="68" ht="25.5" customHeight="1">
      <c r="A68">
        <v>67</v>
      </c>
      <c r="B68" t="inlineStr">
        <is>
          <t>新款计时器圆形指压板</t>
        </is>
      </c>
      <c r="C68" t="inlineStr">
        <is>
          <t>新款计时器圆形指压板1.jpg,新款计时器圆形指压板2.jpg</t>
        </is>
      </c>
      <c r="D68">
        <v>39.9</v>
      </c>
      <c r="E68" s="2"/>
      <c r="F68"/>
      <c r="G68" s="2"/>
      <c r="H68"/>
      <c r="I68"/>
      <c r="J68" t="inlineStr">
        <is>
          <t>⚫已下架</t>
        </is>
      </c>
      <c r="K68" t="inlineStr">
        <is>
          <t>TPR</t>
        </is>
      </c>
      <c r="L68" t="inlineStr">
        <is>
          <t>粉色, 紫色</t>
        </is>
      </c>
      <c r="M68"/>
      <c r="N68" t="inlineStr">
        <is>
          <t>直径：40/55cm</t>
        </is>
      </c>
      <c r="O68"/>
      <c r="P68"/>
      <c r="Q68"/>
      <c r="R68" t="inlineStr">
        <is>
          <t>1.立体加高凸点 深度按摩更舒适
3.密集轻柔刺激区 不放过任何一个按摩死角
2.计时器设计 计时无忧 科学按摩
3.环保软胶材质 无异味更舒适</t>
        </is>
      </c>
      <c r="S68" t="inlineStr">
        <is>
          <t>这款足底按摩脚垫!采用TPR材质，耐用且无异味，品质可靠。独特的四处磁石设计，能够精准按摩穴位，有效疏通经络。当您站立其上，仿佛有一双温柔的手在为您的足底做按摩，缓解疲劳。无论是在家中还是办公室，随时都能享受舒适的足底按摩体验，为您的健康加分!</t>
        </is>
      </c>
      <c r="T68" t="inlineStr">
        <is>
          <t>计时器使用方法：m是分，s是秒，START是开始和暂停，ms一起按是清零哦~</t>
        </is>
      </c>
      <c r="U68"/>
      <c r="V68"/>
      <c r="W68"/>
      <c r="X68"/>
      <c r="Y68" t="inlineStr">
        <is>
          <t>环形按摩滚轮&amp;液态指压板</t>
        </is>
      </c>
      <c r="Z68"/>
      <c r="AA68"/>
    </row>
    <row r="69" ht="25.5" customHeight="1">
      <c r="A69">
        <v>68</v>
      </c>
      <c r="B69" t="inlineStr">
        <is>
          <t>液态软硅胶磁石指压板</t>
        </is>
      </c>
      <c r="C69" t="inlineStr">
        <is>
          <t>液态软硅胶磁石指压板1.jpg</t>
        </is>
      </c>
      <c r="D69">
        <v>39.9</v>
      </c>
      <c r="E69" s="2"/>
      <c r="F69"/>
      <c r="G69" s="2"/>
      <c r="H69"/>
      <c r="I69"/>
      <c r="J69" t="inlineStr">
        <is>
          <t>⚫已下架</t>
        </is>
      </c>
      <c r="K69"/>
      <c r="L69"/>
      <c r="M69"/>
      <c r="N69"/>
      <c r="O69"/>
      <c r="P69"/>
      <c r="Q69"/>
      <c r="R69"/>
      <c r="S69"/>
      <c r="T69"/>
      <c r="U69"/>
      <c r="V69"/>
      <c r="W69"/>
      <c r="X69"/>
      <c r="Y69" t="inlineStr">
        <is>
          <t>环形按摩滚轮&amp;液态指压板</t>
        </is>
      </c>
      <c r="Z69"/>
      <c r="AA69"/>
    </row>
    <row r="70" ht="25.5" customHeight="1">
      <c r="A70">
        <v>69</v>
      </c>
      <c r="B70" t="inlineStr">
        <is>
          <t>液态硅胶指压板加大加宽</t>
        </is>
      </c>
      <c r="C70" t="inlineStr">
        <is>
          <t>液态硅胶指压板加大加宽1.jpg,液态硅胶指压板加大加宽2.jpg</t>
        </is>
      </c>
      <c r="D70">
        <v>29.9</v>
      </c>
      <c r="E70" s="2"/>
      <c r="F70"/>
      <c r="G70" s="2"/>
      <c r="H70"/>
      <c r="I70"/>
      <c r="J70" t="inlineStr">
        <is>
          <t>⚫已下架</t>
        </is>
      </c>
      <c r="K70" t="inlineStr">
        <is>
          <t>TPE软胶</t>
        </is>
      </c>
      <c r="L70" t="inlineStr">
        <is>
          <t>粉色, 灰色</t>
        </is>
      </c>
      <c r="M70"/>
      <c r="N70" t="inlineStr">
        <is>
          <t>75*45cm
80*50cm</t>
        </is>
      </c>
      <c r="O70"/>
      <c r="P70"/>
      <c r="Q70"/>
      <c r="R70" t="inlineStr">
        <is>
          <t>1.强韧回弹材质 久踩不断裂不塌陷 高分子软胶聚合 0胶水一体成型
2.科学设计 不刺痛更护膝 量身定制的硬度和高度，刺激穴位但不刺痛有效保证按摩的舒适感
3.加高防滑设计软胶强吸不位移 通过边缘加高设计，配合软胶的强吸特性能做到360°无死角防滑，安全性大幅提升
4.配备11颗磁石 环保TPE软胶材质 加厚防滑 强韧回弹材质 久踩不断裂 不塌陷</t>
        </is>
      </c>
      <c r="S70" t="inlineStr">
        <is>
          <t>这款指压板采用环保 TPE 软胶一体成型，0 胶水添加更安全，高分子聚合材质强韧回弹，久踩不塌陷、不断裂。科学调校硬度与高度，刺激足底穴位却不刺痛，护膝更舒适。边缘加高搭配软胶强吸附力，360° 防滑不位移。内置 11 颗磁石辅助按摩，居家、办公随时享受足底 SPA，轻松缓解疲劳，全家安心使用</t>
        </is>
      </c>
      <c r="T70" t="inlineStr">
        <is>
          <t>将按摩垫平铺在平整地面，光脚或穿薄袜踩于垫面，可慢走、超慢跑或静态踩踏按摩足底，每日按需使用即可。
</t>
        </is>
      </c>
      <c r="U70"/>
      <c r="V70"/>
      <c r="W70"/>
      <c r="X70"/>
      <c r="Y70" t="inlineStr">
        <is>
          <t>环形按摩滚轮&amp;液态指压板</t>
        </is>
      </c>
      <c r="Z70"/>
      <c r="AA70"/>
    </row>
    <row r="71" ht="25.5" customHeight="1">
      <c r="A71">
        <v>70</v>
      </c>
      <c r="B71" t="inlineStr">
        <is>
          <t>升级款液态猫爪双球指压板</t>
        </is>
      </c>
      <c r="C71" t="inlineStr">
        <is>
          <t>升级款液态猫爪双球指压板1.jpg</t>
        </is>
      </c>
      <c r="D71">
        <v>69.9</v>
      </c>
      <c r="E71" s="2"/>
      <c r="F71"/>
      <c r="G71" s="2"/>
      <c r="H71"/>
      <c r="I71"/>
      <c r="J71" t="inlineStr">
        <is>
          <t>⚫已下架</t>
        </is>
      </c>
      <c r="K71"/>
      <c r="L71"/>
      <c r="M71"/>
      <c r="N71"/>
      <c r="O71"/>
      <c r="P71"/>
      <c r="Q71"/>
      <c r="R71"/>
      <c r="S71"/>
      <c r="T71"/>
      <c r="U71"/>
      <c r="V71"/>
      <c r="W71"/>
      <c r="X71"/>
      <c r="Y71" t="inlineStr">
        <is>
          <t>环形按摩滚轮&amp;液态指压板</t>
        </is>
      </c>
      <c r="Z71"/>
      <c r="AA71"/>
    </row>
    <row r="72" ht="25.5" customHeight="1">
      <c r="A72">
        <v>71</v>
      </c>
      <c r="B72" t="inlineStr">
        <is>
          <t>羽衣甘蓝粉</t>
        </is>
      </c>
      <c r="C72" t="inlineStr">
        <is>
          <t>羽衣甘蓝粉1.jpg</t>
        </is>
      </c>
      <c r="D72">
        <v>19.9</v>
      </c>
      <c r="E72" s="2" t="str">
        <f>=HYPERLINK("https://haohuo.jinritemai.com/ecommerce/trade/detail/index.html?id=3776583836834595081&amp;origin_type=604", "速力达")</f>
        <v>速力达</v>
      </c>
      <c r="F72" t="inlineStr">
        <is>
          <t>https://haohuo.jinritemai.com/ecommerce/trade/detail/index.html?id=3776583836834595081&amp;origin_type=604</t>
        </is>
      </c>
      <c r="G72" s="2"/>
      <c r="H72"/>
      <c r="I72"/>
      <c r="J72" t="inlineStr">
        <is>
          <t>🟢已上架</t>
        </is>
      </c>
      <c r="K72"/>
      <c r="L72"/>
      <c r="M72"/>
      <c r="N72"/>
      <c r="O72"/>
      <c r="P72"/>
      <c r="Q72"/>
      <c r="R72"/>
      <c r="S72"/>
      <c r="T72"/>
      <c r="U72"/>
      <c r="V72"/>
      <c r="W72"/>
      <c r="X72"/>
      <c r="Y72" t="inlineStr">
        <is>
          <t>久诺-钰-工厂代发群</t>
        </is>
      </c>
      <c r="Z72"/>
      <c r="AA72"/>
    </row>
    <row r="73" ht="25.5" customHeight="1">
      <c r="A73">
        <v>72</v>
      </c>
      <c r="B73" t="inlineStr">
        <is>
          <t>黄芪党参豆浆</t>
        </is>
      </c>
      <c r="C73" t="inlineStr">
        <is>
          <t>黄芪党参豆浆1.jpg</t>
        </is>
      </c>
      <c r="D73">
        <v>19.9</v>
      </c>
      <c r="E73" s="2" t="str">
        <f>=HYPERLINK("https://www.xiaohongshu.com/goods-detail/69df41234dd26e00015b7549?t=1776239133901&amp;xsec_token=ABQv-R1-R2f9V5h6LdSFZsdvtXUh30wvrB9qQzAl33YQM%3D&amp;xsec_source=pc_arkselfshare", "坦彦")</f>
        <v>坦彦</v>
      </c>
      <c r="F73" t="inlineStr">
        <is>
          <t>https://www.xiaohongshu.com/goods-detail/69df41234dd26e00015b7549?t=1776239133901&amp;xsec_token=ABQv-R1-R2f9V5h6LdSFZsdvtXUh30wvrB9qQzAl33YQM%3D&amp;xsec_source=pc_arkselfshare</t>
        </is>
      </c>
      <c r="G73" s="2"/>
      <c r="H73"/>
      <c r="I73"/>
      <c r="J73" t="inlineStr">
        <is>
          <t>🟢已上架</t>
        </is>
      </c>
      <c r="K73" t="inlineStr">
        <is>
          <t>非转基因豆浆粉(黄豆、麦芽糖浆), 山药粉, 黄芪粉≥0.8%, 党参粉≥0.7%, 红枣粉, 枸杞粉, 桂圆粉, 阿胶粉</t>
        </is>
      </c>
      <c r="L73" t="inlineStr">
        <is>
          <t>1盒, 3盒, 5盒</t>
        </is>
      </c>
      <c r="M73"/>
      <c r="N73" t="inlineStr">
        <is>
          <t>12个月、175G/盒</t>
        </is>
      </c>
      <c r="O73" t="inlineStr">
        <is>
          <t>发货重量：
1盒：257g
3盒：748g
5盒：1255g</t>
        </is>
      </c>
      <c r="P73"/>
      <c r="Q73"/>
      <c r="R73" t="inlineStr">
        <is>
          <t>适用于：全家共享、赶时间早餐、办公室加餐、有氧运动后代餐</t>
        </is>
      </c>
      <c r="S73"/>
      <c r="T73"/>
      <c r="U73" t="inlineStr">
        <is>
          <t>image.png,image.png</t>
        </is>
      </c>
      <c r="V73"/>
      <c r="W73" t="inlineStr">
        <is>
          <t>0624005黄芪党参豆浆粉.jpg</t>
        </is>
      </c>
      <c r="X73"/>
      <c r="Y73" t="inlineStr">
        <is>
          <t>久诺-钰-工厂代发群</t>
        </is>
      </c>
      <c r="Z73"/>
      <c r="AA73"/>
    </row>
    <row r="74" ht="25.5" customHeight="1">
      <c r="A74">
        <v>73</v>
      </c>
      <c r="B74" t="inlineStr">
        <is>
          <t>燕麦麸皮-久诺</t>
        </is>
      </c>
      <c r="C74" t="inlineStr">
        <is>
          <t>燕麦麸皮-久诺1.png</t>
        </is>
      </c>
      <c r="D74">
        <v>29.9</v>
      </c>
      <c r="E74" s="2" t="str">
        <f>=HYPERLINK("https://haohuo.jinritemai.com/ecommerce/trade/detail/index.html?id=3751953251759685932&amp;origin_type=604", "速力达")</f>
        <v>速力达</v>
      </c>
      <c r="F74" t="inlineStr">
        <is>
          <t>https://haohuo.jinritemai.com/ecommerce/trade/detail/index.html?id=3751953251759685932&amp;origin_type=604</t>
        </is>
      </c>
      <c r="G74" s="2"/>
      <c r="H74"/>
      <c r="I74"/>
      <c r="J74" t="inlineStr">
        <is>
          <t>🟢已上架</t>
        </is>
      </c>
      <c r="K74" t="inlineStr">
        <is>
          <t>燕麦麸皮</t>
        </is>
      </c>
      <c r="L74" t="inlineStr">
        <is>
          <t>罐</t>
        </is>
      </c>
      <c r="M74"/>
      <c r="N74" t="inlineStr">
        <is>
          <t>12个月</t>
        </is>
      </c>
      <c r="O74" t="inlineStr">
        <is>
          <t>500G/罐</t>
        </is>
      </c>
      <c r="P74"/>
      <c r="Q74"/>
      <c r="R74" t="inlineStr">
        <is>
          <t>适用于
全家共享
赶时间早餐
办公室下午加餐
有氧运动代餐</t>
        </is>
      </c>
      <c r="S74" t="inlineStr">
        <is>
          <t>燕麦麸皮，属于高纤轻食冲调食品，配料很干净，没有额外添加蔗糖和盐，膳食纤维含量丰富，口感细腻顺滑，是自然的麦香味，喜欢清淡轻食的朋友当早餐、加餐、代餐都很适合。</t>
        </is>
      </c>
      <c r="T74" t="inlineStr">
        <is>
          <t>冲泡特别简单，取适量放杯子里，加温水或者热水搅匀就能喝，30 秒就搞定。也可以加牛奶、蜂蜜、酸奶搭配着吃，冷热都能冲，早上赶时间或者办公室加餐都很方便～</t>
        </is>
      </c>
      <c r="U74"/>
      <c r="V74" t="inlineStr">
        <is>
          <t>0c5d67fb9d2d958f03e29d6fe4994e2c.png</t>
        </is>
      </c>
      <c r="W74" t="inlineStr">
        <is>
          <t>CQMT3268801416(燕麦麸皮)-(1).pdf</t>
        </is>
      </c>
      <c r="X74"/>
      <c r="Y74" t="inlineStr">
        <is>
          <t>久诺-钰-工厂代发群</t>
        </is>
      </c>
      <c r="Z74"/>
      <c r="AA74"/>
    </row>
    <row r="75" ht="25.5" customHeight="1">
      <c r="A75">
        <v>74</v>
      </c>
      <c r="B75" t="inlineStr">
        <is>
          <t>檀木小青蛙</t>
        </is>
      </c>
      <c r="C75" t="inlineStr">
        <is>
          <t>檀木小青蛙1.jpg</t>
        </is>
      </c>
      <c r="D75">
        <v>19.9</v>
      </c>
      <c r="E75" s="2"/>
      <c r="F75"/>
      <c r="G75" s="2"/>
      <c r="H75"/>
      <c r="I75"/>
      <c r="J75" t="inlineStr">
        <is>
          <t>⚫已下架</t>
        </is>
      </c>
      <c r="K75"/>
      <c r="L75"/>
      <c r="M75"/>
      <c r="N75"/>
      <c r="O75"/>
      <c r="P75"/>
      <c r="Q75"/>
      <c r="R75"/>
      <c r="S75"/>
      <c r="T75"/>
      <c r="U75"/>
      <c r="V75"/>
      <c r="W75"/>
      <c r="X75"/>
      <c r="Y75" t="inlineStr">
        <is>
          <t>9818小青蛙代发</t>
        </is>
      </c>
      <c r="Z75"/>
      <c r="AA75"/>
    </row>
    <row r="76" ht="25.5" customHeight="1">
      <c r="A76">
        <v>75</v>
      </c>
      <c r="B76" t="inlineStr">
        <is>
          <t>檀木梳</t>
        </is>
      </c>
      <c r="C76" t="inlineStr">
        <is>
          <t>檀木梳1.jpg</t>
        </is>
      </c>
      <c r="D76">
        <v>9.9</v>
      </c>
      <c r="E76" s="2"/>
      <c r="F76"/>
      <c r="G76" s="2"/>
      <c r="H76"/>
      <c r="I76"/>
      <c r="J76" t="inlineStr">
        <is>
          <t>⚫已下架</t>
        </is>
      </c>
      <c r="K76"/>
      <c r="L76"/>
      <c r="M76"/>
      <c r="N76"/>
      <c r="O76"/>
      <c r="P76"/>
      <c r="Q76"/>
      <c r="R76"/>
      <c r="S76"/>
      <c r="T76"/>
      <c r="U76"/>
      <c r="V76"/>
      <c r="W76"/>
      <c r="X76"/>
      <c r="Y76" t="inlineStr">
        <is>
          <t>9818小青蛙代发</t>
        </is>
      </c>
      <c r="Z76"/>
      <c r="AA76"/>
    </row>
    <row r="77" ht="25.5" customHeight="1">
      <c r="A77">
        <v>76</v>
      </c>
      <c r="B77" t="inlineStr">
        <is>
          <t>三排可弯曲按摩棒</t>
        </is>
      </c>
      <c r="C77" t="inlineStr">
        <is>
          <t>三排可弯曲按摩棒1.jpg,三排可弯曲按摩棒2.jpg</t>
        </is>
      </c>
      <c r="D77">
        <v>29.9</v>
      </c>
      <c r="E77" s="2" t="str">
        <f>=HYPERLINK("https://haohuo.jinritemai.com/ecommerce/trade/detail/index.html?id=3753193279483674766&amp;origin_type=604", "速力达")</f>
        <v>速力达</v>
      </c>
      <c r="F77" t="inlineStr">
        <is>
          <t>https://haohuo.jinritemai.com/ecommerce/trade/detail/index.html?id=3753193279483674766&amp;origin_type=604</t>
        </is>
      </c>
      <c r="G77" s="2"/>
      <c r="H77"/>
      <c r="I77"/>
      <c r="J77" t="inlineStr">
        <is>
          <t>🟢已上架</t>
        </is>
      </c>
      <c r="K77" t="inlineStr">
        <is>
          <t>pp</t>
        </is>
      </c>
      <c r="L77" t="inlineStr">
        <is>
          <t>绿色, 蓝色, 粉色, 紫色</t>
        </is>
      </c>
      <c r="M77"/>
      <c r="N77" t="inlineStr">
        <is>
          <t>44.5*9.2cm</t>
        </is>
      </c>
      <c r="O77" t="inlineStr">
        <is>
          <t>≈0.2-0.4kg</t>
        </is>
      </c>
      <c r="P77"/>
      <c r="Q77"/>
      <c r="R77" t="inlineStr">
        <is>
          <t>1. 可弯曲贴合：能弯曲适配人体曲线，环绕按摩不夹肉，滚动流畅，肩颈腰背腿等部位都能精准按摩
2. 3D仿生按摩：仿生纹理触点，3D按压深入肌理，放松肌肉酸痛，软硬适中温柔不刺痛
3. 优质环保材质：采用环保PP材质，抗压回弹、结实耐用，无甲醛隐患，使用更安心</t>
        </is>
      </c>
      <c r="S77" t="inlineStr">
        <is>
          <t>三排可弯曲按摩棒来啦！环保 PP 材质软硬适中，可弯曲贴合人体曲线，3D 仿生触点全身按摩不夹肉，波浪纹手柄防滑好握，绿蓝粉紫四色可选，全家通用～</t>
        </is>
      </c>
      <c r="T77" t="inlineStr">
        <is>
          <t>手持波浪纹手柄，将按摩棒贴合肩颈、腰背、腿部等需放松部位，缓慢滚动按压，根据自身感受调整力度和滚动速度，按需按摩即</t>
        </is>
      </c>
      <c r="U77"/>
      <c r="V77"/>
      <c r="W77"/>
      <c r="X77"/>
      <c r="Y77" t="inlineStr">
        <is>
          <t>狼牙棒</t>
        </is>
      </c>
      <c r="Z77"/>
      <c r="AA77"/>
    </row>
    <row r="78" ht="25.5" customHeight="1">
      <c r="A78">
        <v>77</v>
      </c>
      <c r="B78" t="inlineStr">
        <is>
          <t>双排狼牙棒</t>
        </is>
      </c>
      <c r="C78" t="inlineStr">
        <is>
          <t>双排狼牙棒1.jpg,双排狼牙棒2.jpg</t>
        </is>
      </c>
      <c r="D78">
        <v>29.9</v>
      </c>
      <c r="E78" s="2" t="str">
        <f>=HYPERLINK("https://haohuo.jinritemai.com/ecommerce/trade/detail/index.html?id=3745953380040835138&amp;origin_type=604", "速力达")</f>
        <v>速力达</v>
      </c>
      <c r="F78" t="inlineStr">
        <is>
          <t>https://haohuo.jinritemai.com/ecommerce/trade/detail/index.html?id=3745953380040835138&amp;origin_type=604</t>
        </is>
      </c>
      <c r="G78" s="2"/>
      <c r="H78"/>
      <c r="I78"/>
      <c r="J78" t="inlineStr">
        <is>
          <t>🟢已上架</t>
        </is>
      </c>
      <c r="K78" t="inlineStr">
        <is>
          <t>pp</t>
        </is>
      </c>
      <c r="L78" t="inlineStr">
        <is>
          <t>绿色, 蓝色, 粉色, 紫色</t>
        </is>
      </c>
      <c r="M78"/>
      <c r="N78" t="inlineStr">
        <is>
          <t>≈44cm*9.6cm</t>
        </is>
      </c>
      <c r="O78" t="inlineStr">
        <is>
          <t>360g</t>
        </is>
      </c>
      <c r="P78"/>
      <c r="Q78"/>
      <c r="R78" t="inlineStr">
        <is>
          <t>1. 双轴滚珠设计：双排独立滚珠，集中受力按摩力度更足，滚动不夹皮肉，舒缓肌肉更高效
2. 优质双材质：PP外材搭配加粗精钢内芯，结实耐用，灵活滚动不卡顿，久用不易坏
3. 柔和浮点触肤：按摩浮点柔和不伤肤、不刺激，力道适配孩子，成人小孩都能用
4. 防滑舒适握持：手柄带防滑纹理设计，贴合手掌，出汗不打滑，按摩操作更顺手</t>
        </is>
      </c>
      <c r="S78" t="inlineStr">
        <is>
          <t>双排滚珠集中受力不夹肉，柔和浮点不伤肤，成人孩子都能用～防滑纹理手柄好握持，四色清新可选，全身按摩缓解酸痛、助力塑形</t>
        </is>
      </c>
      <c r="T78" t="inlineStr">
        <is>
          <t>手持防滑手柄，将按摩棒贴合需放松部位，缓慢滚动按压，利用双排滚珠集中受力按摩，可根据自身感受调整滚动速度与力度</t>
        </is>
      </c>
      <c r="U78" t="inlineStr">
        <is>
          <t>双排狼牙棒1.jpg,双排狼牙棒2.jpg</t>
        </is>
      </c>
      <c r="V78"/>
      <c r="W78"/>
      <c r="X78"/>
      <c r="Y78" t="inlineStr">
        <is>
          <t>狼牙棒</t>
        </is>
      </c>
      <c r="Z78"/>
      <c r="AA78"/>
    </row>
    <row r="79" ht="25.5" customHeight="1">
      <c r="A79">
        <v>78</v>
      </c>
      <c r="B79" t="inlineStr">
        <is>
          <t>狼牙按摩棒</t>
        </is>
      </c>
      <c r="C79" t="inlineStr">
        <is>
          <t>狼牙按摩棒1.jpg,狼牙按摩棒2.jpg</t>
        </is>
      </c>
      <c r="D79">
        <v>29</v>
      </c>
      <c r="E79" s="2" t="str">
        <f>=HYPERLINK("https://haohuo.jinritemai.com/ecommerce/trade/detail/index.html?id=3744137150032118019&amp;origin_type=604", "速力达")</f>
        <v>速力达</v>
      </c>
      <c r="F79" t="inlineStr">
        <is>
          <t>https://haohuo.jinritemai.com/ecommerce/trade/detail/index.html?id=3744137150032118019&amp;origin_type=604</t>
        </is>
      </c>
      <c r="G79" s="2"/>
      <c r="H79"/>
      <c r="I79"/>
      <c r="J79" t="inlineStr">
        <is>
          <t>🟢已上架</t>
        </is>
      </c>
      <c r="K79" t="inlineStr">
        <is>
          <t>pp</t>
        </is>
      </c>
      <c r="L79" t="inlineStr">
        <is>
          <t>绿色, 蓝色, 粉色, 紫色, 白色</t>
        </is>
      </c>
      <c r="M79"/>
      <c r="N79"/>
      <c r="O79"/>
      <c r="P79"/>
      <c r="Q79"/>
      <c r="R79" t="inlineStr">
        <is>
          <t>1.加长四轮设计：按摩覆盖范围广，可按腿、腰、背等全身部位，按摩效果更优
2.优质坚固材质：PP 材质搭配加粗不锈钢内芯，真材实料，结实耐用不易坏
3.仿生触点升级：全新仿生按摩触点，贴合肌理，放松肌肉更精准</t>
        </is>
      </c>
      <c r="S79" t="inlineStr">
        <is>
          <t>加长四轮仿生触点，全身按摩超适配，PP 材质 + 加粗不锈钢内芯超耐用，还经权威检测铅镉等指标全合格～高级撞色多色可选，瑜伽健身放松肌肉都能用</t>
        </is>
      </c>
      <c r="T79" t="inlineStr">
        <is>
          <t>手持按摩棒，将仿生触点贴合肩颈、腰背、腿部等需放松部位，缓慢滚动按压，根据自身感受调整速度与力度即可</t>
        </is>
      </c>
      <c r="U79"/>
      <c r="V79"/>
      <c r="W79"/>
      <c r="X79"/>
      <c r="Y79" t="inlineStr">
        <is>
          <t>狼牙棒</t>
        </is>
      </c>
      <c r="Z79"/>
      <c r="AA79"/>
    </row>
    <row r="80" ht="25.5" customHeight="1">
      <c r="A80">
        <v>79</v>
      </c>
      <c r="B80" t="inlineStr">
        <is>
          <t>瑜伽垫</t>
        </is>
      </c>
      <c r="C80" t="inlineStr">
        <is>
          <t>瑜伽垫1.jpg</t>
        </is>
      </c>
      <c r="D80">
        <v>79</v>
      </c>
      <c r="E80" s="2"/>
      <c r="F80"/>
      <c r="G80" s="2"/>
      <c r="H80"/>
      <c r="I80"/>
      <c r="J80" t="inlineStr">
        <is>
          <t>⚫已下架</t>
        </is>
      </c>
      <c r="K80" t="inlineStr">
        <is>
          <t>TPE软胶</t>
        </is>
      </c>
      <c r="L80" t="inlineStr">
        <is>
          <t>红色, 紫色, 淡紫色</t>
        </is>
      </c>
      <c r="M80"/>
      <c r="N80" t="inlineStr">
        <is>
          <t>183cm*80cm*0.8cm</t>
        </is>
      </c>
      <c r="O80" t="inlineStr">
        <is>
          <t>1.62kg</t>
        </is>
      </c>
      <c r="P80"/>
      <c r="Q80"/>
      <c r="R80" t="inlineStr">
        <is>
          <t>1.精选 TPE 环保原材料，环保无味，抗菌防臭，健康无负担，适配各类人群使用
2.双面防滑纹理，35° 斜角地面也不位移，跳绳、瑜伽等运动拒绝打滑，抓地性强
3.防震隔音、速干防水防汗，一擦即净易清洁，回弹效果佳，有效保护关节</t>
        </is>
      </c>
      <c r="S80" t="inlineStr">
        <is>
          <t>加宽加厚大尺寸，双面防滑不位移，环保无味还抗菌防臭～带体式引导线，防震隔音易清洁，瑜伽健身跳操都能用，适配各种地面</t>
        </is>
      </c>
      <c r="T80" t="inlineStr">
        <is>
          <t>将瑜伽垫平铺在平整地面，展开即可使用，适配瑜伽、健身、跳操等运动；使用后用湿布擦拭，晾干后卷放收纳</t>
        </is>
      </c>
      <c r="U80" t="inlineStr">
        <is>
          <t>TPE瑜伽垫1.pdf,TPE瑜伽垫2.png,TPE瑜伽垫3.jpg</t>
        </is>
      </c>
      <c r="V80"/>
      <c r="W80"/>
      <c r="X80"/>
      <c r="Y80" t="inlineStr">
        <is>
          <t>爱喜-孙教练代发</t>
        </is>
      </c>
      <c r="Z80"/>
      <c r="AA80"/>
    </row>
    <row r="81" ht="25.5" customHeight="1">
      <c r="A81">
        <v>80</v>
      </c>
      <c r="B81" t="inlineStr">
        <is>
          <t>护腰坐姿椅</t>
        </is>
      </c>
      <c r="C81" t="inlineStr">
        <is>
          <t>护腰坐姿椅1.jpg,护腰坐姿椅2.jpg</t>
        </is>
      </c>
      <c r="D81">
        <v>79</v>
      </c>
      <c r="E81" s="2" t="str">
        <f>=HYPERLINK("https://haohuo.jinritemai.com/ecommerce/trade/detail/index.html?id=3749855525349753119&amp;origin_type=604", "速力达")</f>
        <v>速力达</v>
      </c>
      <c r="F81" t="inlineStr">
        <is>
          <t>https://haohuo.jinritemai.com/ecommerce/trade/detail/index.html?id=3749855525349753119&amp;origin_type=604</t>
        </is>
      </c>
      <c r="G81" s="2"/>
      <c r="H81"/>
      <c r="I81"/>
      <c r="J81" t="inlineStr">
        <is>
          <t>🟢已上架</t>
        </is>
      </c>
      <c r="K81" t="inlineStr">
        <is>
          <t>太空慢回弹记忆棉</t>
        </is>
      </c>
      <c r="L81" t="inlineStr">
        <is>
          <t>黑色, 灰色, 紫色</t>
        </is>
      </c>
      <c r="M81"/>
      <c r="N81" t="inlineStr">
        <is>
          <t>≈395*350*425MM（售后：如海绵问题可补发，其余一个月以内均可寄回更换（不承担寄回运费））</t>
        </is>
      </c>
      <c r="O81" t="inlineStr">
        <is>
          <t>1.6kg</t>
        </is>
      </c>
      <c r="P81"/>
      <c r="Q81"/>
      <c r="R81" t="inlineStr">
        <is>
          <t>1.舒适度全面提升，航空级韧性材质，300 斤强力承重，反复弯折不变形，结实耐用
2.高弹一秒回弹，软而不塌，坐感饱满减压，亲肤舒适，长效支撑不塌陷
3.120° 黄金角度，科学分区包裹（腰部支撑 / 腰肌包裹 / 臀中贴合区），双翼环抱式设计，填补腰背空隙，矫正坐姿预防弓背</t>
        </is>
      </c>
      <c r="S81" t="inlineStr">
        <is>
          <t>120° 黄金角度工学设计，三区包裹双翼环抱护腰，300 斤承重不塌！透气凹槽 + 可拆卸清洗，办公开车带娃久坐不累，矫正坐姿超实用</t>
        </is>
      </c>
      <c r="T81" t="inlineStr">
        <is>
          <t>将坐垫放置在座椅上，贴合椅背位置，人体背靠坐垫腰部支撑区，自然坐立即可，利用其工学设计贴合腰背，矫正坐姿。
</t>
        </is>
      </c>
      <c r="U81" t="inlineStr">
        <is>
          <t>护腰坐姿椅1.jpg</t>
        </is>
      </c>
      <c r="V81" t="inlineStr">
        <is>
          <t>坐姿椅吊牌.jpg</t>
        </is>
      </c>
      <c r="W81"/>
      <c r="X81" t="inlineStr">
        <is>
          <t>护腰坐姿椅.xlsx</t>
        </is>
      </c>
      <c r="Y81" t="inlineStr">
        <is>
          <t>405号群坐姿椅9818抖音+9818四区</t>
        </is>
      </c>
      <c r="Z81"/>
      <c r="AA81"/>
    </row>
    <row r="82" ht="25.5" customHeight="1">
      <c r="A82">
        <v>81</v>
      </c>
      <c r="B82" t="inlineStr">
        <is>
          <t>紫苏暖阳茶</t>
        </is>
      </c>
      <c r="C82" t="inlineStr">
        <is>
          <t>紫苏暖阳茶1.jpg</t>
        </is>
      </c>
      <c r="D82">
        <v>29.9</v>
      </c>
      <c r="E82" s="2" t="str">
        <f>=HYPERLINK("https://haohuo.jinritemai.com/ecommerce/trade/detail/index.html?id=3762675905890222280&amp;origin_type=604", "速力达")</f>
        <v>速力达</v>
      </c>
      <c r="F82" t="inlineStr">
        <is>
          <t>https://haohuo.jinritemai.com/ecommerce/trade/detail/index.html?id=3762675905890222280&amp;origin_type=604</t>
        </is>
      </c>
      <c r="G82" s="2"/>
      <c r="H82"/>
      <c r="I82"/>
      <c r="J82" t="inlineStr">
        <is>
          <t>⚫已下架</t>
        </is>
      </c>
      <c r="K82"/>
      <c r="L82"/>
      <c r="M82"/>
      <c r="N82"/>
      <c r="O82"/>
      <c r="P82"/>
      <c r="Q82"/>
      <c r="R82"/>
      <c r="S82"/>
      <c r="T82"/>
      <c r="U82"/>
      <c r="V82"/>
      <c r="W82"/>
      <c r="X82"/>
      <c r="Y82" t="inlineStr">
        <is>
          <t>徐小花紫苏茶叶一孙老师专属优品店</t>
        </is>
      </c>
      <c r="Z82"/>
      <c r="AA82"/>
    </row>
    <row r="83" ht="25.5" customHeight="1">
      <c r="A83">
        <v>82</v>
      </c>
      <c r="B83" t="inlineStr">
        <is>
          <t>黄芪麦冬五味子</t>
        </is>
      </c>
      <c r="C83" t="inlineStr">
        <is>
          <t>黄芪麦冬五味子1.jpg</t>
        </is>
      </c>
      <c r="D83">
        <v>29.9</v>
      </c>
      <c r="E83" s="2" t="str">
        <f>=HYPERLINK("https://haohuo.jinritemai.com/ecommerce/trade/detail/index.html?id=3762675208100642956&amp;origin_type=604", "速力达")</f>
        <v>速力达</v>
      </c>
      <c r="F83" t="inlineStr">
        <is>
          <t>https://haohuo.jinritemai.com/ecommerce/trade/detail/index.html?id=3762675208100642956&amp;origin_type=604</t>
        </is>
      </c>
      <c r="G83" s="2"/>
      <c r="H83"/>
      <c r="I83"/>
      <c r="J83" t="inlineStr">
        <is>
          <t>⚫已下架</t>
        </is>
      </c>
      <c r="K83" t="inlineStr">
        <is>
          <t>黄芪, 麦冬, 五味子</t>
        </is>
      </c>
      <c r="L83" t="inlineStr">
        <is>
          <t>30包/袋, 60包/袋, 100包/1袋</t>
        </is>
      </c>
      <c r="M83"/>
      <c r="N83" t="inlineStr">
        <is>
          <t>12个月</t>
        </is>
      </c>
      <c r="O83" t="inlineStr">
        <is>
          <t>5g/包；
30包=150克；
60包=300克；
100包=500克；</t>
        </is>
      </c>
      <c r="P83"/>
      <c r="Q83"/>
      <c r="R83"/>
      <c r="S83" t="inlineStr">
        <is>
          <t>禁忌&amp;注意
- 感冒发烧、咳嗽痰多暂停喝
- 上火长痘、便秘严重少喝
- 孕期、小孩、三高服药人群少量饮用
- 空腹少喝，饭后喝更温和</t>
        </is>
      </c>
      <c r="T83" t="inlineStr">
        <is>
          <t>饮用方法
1. 食材洗净，放入保温杯
2. 倒入沸水，焖泡15分钟
3. 可反复续水，当天喝完
4. 也可清水煮10分钟温饮</t>
        </is>
      </c>
      <c r="U83"/>
      <c r="V83"/>
      <c r="W83"/>
      <c r="X83"/>
      <c r="Y83" t="inlineStr">
        <is>
          <t>徐小花紫苏茶叶一孙老师专属优品店</t>
        </is>
      </c>
      <c r="Z83"/>
      <c r="AA83"/>
    </row>
    <row r="84" ht="25.5" customHeight="1">
      <c r="A84">
        <v>83</v>
      </c>
      <c r="B84" t="inlineStr">
        <is>
          <t>茯苓八珍足贴</t>
        </is>
      </c>
      <c r="C84" t="inlineStr">
        <is>
          <t>茯苓八珍足贴1.png,茯苓八珍足贴2.jpg</t>
        </is>
      </c>
      <c r="D84">
        <v>19.9</v>
      </c>
      <c r="E84" s="2"/>
      <c r="F84"/>
      <c r="G84" s="2"/>
      <c r="H84"/>
      <c r="I84"/>
      <c r="J84" t="inlineStr">
        <is>
          <t>⚫已下架</t>
        </is>
      </c>
      <c r="K84" t="inlineStr">
        <is>
          <t>八珍草本</t>
        </is>
      </c>
      <c r="L84" t="inlineStr">
        <is>
          <t>30贴/盒</t>
        </is>
      </c>
      <c r="M84"/>
      <c r="N84"/>
      <c r="O84"/>
      <c r="P84"/>
      <c r="Q84"/>
      <c r="R84" t="inlineStr">
        <is>
          <t>1.传承经典贴敷方式，贴敷足底涌泉穴，8 小时温和作用，吸附浊气，晚贴早撕超便捷
2.针对湿气重、口苦口臭、失眠多梦、手凉脚凉、身体虚胖等问题，草本温养调理
3.采用通气无纺布胶贴，贴敷不闷热、不闷肤，贴合足底不易掉</t>
        </is>
      </c>
      <c r="S84" t="inlineStr">
        <is>
          <t>八珍草本 + 电气石植萃配方，老北京经典贴敷方式，晚贴早撕 8 小时温养，针对湿气重、失眠脚凉等问题～透气无纺布不闷肤，30 贴 / 盒全家通用</t>
        </is>
      </c>
      <c r="T84" t="inlineStr">
        <is>
          <t>睡前清洁擦干足底，揭去离型纸，将足贴贴于涌泉穴，轻压贴合，贴敷 8 小时后，次日早上撕下即可</t>
        </is>
      </c>
      <c r="U84"/>
      <c r="V84"/>
      <c r="W84"/>
      <c r="X84"/>
      <c r="Y84" t="inlineStr">
        <is>
          <t>艾以盈，香港大药房南师艾脐散贴</t>
        </is>
      </c>
      <c r="Z84"/>
      <c r="AA84"/>
    </row>
    <row r="85" ht="25.5" customHeight="1">
      <c r="A85">
        <v>84</v>
      </c>
      <c r="B85" t="inlineStr">
        <is>
          <t>吴茱萸肉桂足贴</t>
        </is>
      </c>
      <c r="C85" t="inlineStr">
        <is>
          <t>吴茱萸肉桂足贴1.jpg,吴茱萸肉桂足贴2.jpg</t>
        </is>
      </c>
      <c r="D85">
        <v>19.9</v>
      </c>
      <c r="E85" s="2" t="str">
        <f>=HYPERLINK("https://haohuo.jinritemai.com/ecommerce/trade/detail/index.html?id=3763047280941334548&amp;origin_type=604", "速力达")</f>
        <v>速力达</v>
      </c>
      <c r="F85" t="inlineStr">
        <is>
          <t>https://haohuo.jinritemai.com/ecommerce/trade/detail/index.html?id=3763047280941334548&amp;origin_type=604</t>
        </is>
      </c>
      <c r="G85" s="2"/>
      <c r="H85"/>
      <c r="I85"/>
      <c r="J85" t="inlineStr">
        <is>
          <t>🟢已上架</t>
        </is>
      </c>
      <c r="K85"/>
      <c r="L85" t="inlineStr">
        <is>
          <t>30贴/盒</t>
        </is>
      </c>
      <c r="M85"/>
      <c r="N85"/>
      <c r="O85"/>
      <c r="P85"/>
      <c r="Q85"/>
      <c r="R85"/>
      <c r="S85"/>
      <c r="T85"/>
      <c r="U85"/>
      <c r="V85"/>
      <c r="W85"/>
      <c r="X85"/>
      <c r="Y85" t="inlineStr">
        <is>
          <t>艾以盈，香港大药房南师艾脐散贴</t>
        </is>
      </c>
      <c r="Z85"/>
      <c r="AA85"/>
    </row>
    <row r="86" ht="25.5" customHeight="1">
      <c r="A86">
        <v>85</v>
      </c>
      <c r="B86" t="inlineStr">
        <is>
          <t>玉石手指按摩器</t>
        </is>
      </c>
      <c r="C86" t="inlineStr">
        <is>
          <t>玉石手指按摩器1.jpg,玉石手指按摩器2.jpg</t>
        </is>
      </c>
      <c r="D86">
        <v>27.9</v>
      </c>
      <c r="E86" s="2" t="str">
        <f>=HYPERLINK("https://haohuo.jinritemai.com/ecommerce/trade/detail/index.html?id=3778450079564824942&amp;origin_type=604", "海智")</f>
        <v>海智</v>
      </c>
      <c r="F86" t="inlineStr">
        <is>
          <t>https://haohuo.jinritemai.com/ecommerce/trade/detail/index.html?id=3778450079564824942&amp;origin_type=604</t>
        </is>
      </c>
      <c r="G86" s="2"/>
      <c r="H86"/>
      <c r="I86"/>
      <c r="J86" t="inlineStr">
        <is>
          <t>🟢已上架</t>
        </is>
      </c>
      <c r="K86" t="inlineStr">
        <is>
          <t>玉石款, 砭石款</t>
        </is>
      </c>
      <c r="L86"/>
      <c r="M86"/>
      <c r="N86"/>
      <c r="O86"/>
      <c r="P86"/>
      <c r="Q86"/>
      <c r="R86" t="inlineStr">
        <is>
          <t>1.天然材质打造，材质温润亲肤，按摩触感舒适
2.滚轮式设计精准疏通手指关节，缓解手部酸胀、僵硬，呵护手部肌肤与关节</t>
        </is>
      </c>
      <c r="S86" t="inlineStr">
        <is>
          <t>材质温润亲肤，滚轮设计疏通手指关节，缓解手部僵硬酸胀～小巧便携，居家办公出行随手用，一器多用超实用</t>
        </is>
      </c>
      <c r="T86" t="inlineStr">
        <is>
          <t>将手指放入按摩器滚轮间，缓慢来回滑动手指，利用滚轮滚动按摩关节与肌肤，按需按摩手部各部位即可</t>
        </is>
      </c>
      <c r="U86"/>
      <c r="V86"/>
      <c r="W86"/>
      <c r="X86"/>
      <c r="Y86" t="inlineStr">
        <is>
          <t>艾以盈，香港大药房南师艾脐散贴</t>
        </is>
      </c>
      <c r="Z86"/>
      <c r="AA86"/>
    </row>
    <row r="87" ht="25.5" customHeight="1">
      <c r="A87">
        <v>86</v>
      </c>
      <c r="B87" t="inlineStr">
        <is>
          <t>伏湿贴</t>
        </is>
      </c>
      <c r="C87" t="inlineStr">
        <is>
          <t>伏湿贴1.jpg</t>
        </is>
      </c>
      <c r="D87">
        <v>19.9</v>
      </c>
      <c r="E87" s="2" t="str">
        <f>=HYPERLINK("https://haohuo.jinritemai.com/ecommerce/trade/detail/index.html?id=3764334858466361789&amp;origin_type=604", "速力达")</f>
        <v>速力达</v>
      </c>
      <c r="F87" t="inlineStr">
        <is>
          <t>https://haohuo.jinritemai.com/ecommerce/trade/detail/index.html?id=3764334858466361789&amp;origin_type=604</t>
        </is>
      </c>
      <c r="G87" s="2"/>
      <c r="H87"/>
      <c r="I87"/>
      <c r="J87" t="inlineStr">
        <is>
          <t>🟢已上架</t>
        </is>
      </c>
      <c r="K87"/>
      <c r="L87" t="inlineStr">
        <is>
          <t>15贴/盒</t>
        </is>
      </c>
      <c r="M87"/>
      <c r="N87"/>
      <c r="O87"/>
      <c r="P87"/>
      <c r="Q87"/>
      <c r="R87"/>
      <c r="S87"/>
      <c r="T87"/>
      <c r="U87"/>
      <c r="V87"/>
      <c r="W87"/>
      <c r="X87"/>
      <c r="Y87" t="inlineStr">
        <is>
          <t>百年龙氏足浴包9818</t>
        </is>
      </c>
      <c r="Z87"/>
      <c r="AA87"/>
    </row>
    <row r="88" ht="25.5" customHeight="1">
      <c r="A88">
        <v>87</v>
      </c>
      <c r="B88" t="inlineStr">
        <is>
          <t>艾草泡脚包</t>
        </is>
      </c>
      <c r="C88" t="inlineStr">
        <is>
          <t>艾草泡脚包1.jpg</t>
        </is>
      </c>
      <c r="D88">
        <v>29.9</v>
      </c>
      <c r="E88" s="2" t="str">
        <f>=HYPERLINK("https://haohuo.jinritemai.com/ecommerce/trade/detail/index.html?id=3764725191578616150&amp;origin_type=604", "速力达")</f>
        <v>速力达</v>
      </c>
      <c r="F88" t="inlineStr">
        <is>
          <t>https://haohuo.jinritemai.com/ecommerce/trade/detail/index.html?id=3764725191578616150&amp;origin_type=604</t>
        </is>
      </c>
      <c r="G88" s="2"/>
      <c r="H88"/>
      <c r="I88"/>
      <c r="J88" t="inlineStr">
        <is>
          <t>⚫已下架</t>
        </is>
      </c>
      <c r="K88"/>
      <c r="L88"/>
      <c r="M88"/>
      <c r="N88"/>
      <c r="O88"/>
      <c r="P88"/>
      <c r="Q88"/>
      <c r="R88"/>
      <c r="S88"/>
      <c r="T88"/>
      <c r="U88"/>
      <c r="V88"/>
      <c r="W88"/>
      <c r="X88"/>
      <c r="Y88"/>
      <c r="Z88"/>
      <c r="AA88"/>
    </row>
    <row r="89" ht="25.5" customHeight="1">
      <c r="A89">
        <v>88</v>
      </c>
      <c r="B89" t="inlineStr">
        <is>
          <t>草本萃取艾草贴</t>
        </is>
      </c>
      <c r="C89" t="inlineStr">
        <is>
          <t>草本萃取艾草贴1.jpg</t>
        </is>
      </c>
      <c r="D89">
        <v>19.9</v>
      </c>
      <c r="E89" s="2" t="str">
        <f>=HYPERLINK("https://haohuo.jinritemai.com/ecommerce/trade/detail/index.html?id=3764318054566199571&amp;origin_type=604", "速力达")</f>
        <v>速力达</v>
      </c>
      <c r="F89" t="inlineStr">
        <is>
          <t>https://haohuo.jinritemai.com/ecommerce/trade/detail/index.html?id=3764318054566199571&amp;origin_type=604</t>
        </is>
      </c>
      <c r="G89" s="2"/>
      <c r="H89"/>
      <c r="I89"/>
      <c r="J89" t="inlineStr">
        <is>
          <t>🟢已上架</t>
        </is>
      </c>
      <c r="K89"/>
      <c r="L89" t="inlineStr">
        <is>
          <t>10片/盒</t>
        </is>
      </c>
      <c r="M89"/>
      <c r="N89"/>
      <c r="O89"/>
      <c r="P89"/>
      <c r="Q89"/>
      <c r="R89"/>
      <c r="S89"/>
      <c r="T89"/>
      <c r="U89"/>
      <c r="V89"/>
      <c r="W89"/>
      <c r="X89"/>
      <c r="Y89" t="inlineStr">
        <is>
          <t>百年龙氏足浴包9818</t>
        </is>
      </c>
      <c r="Z89"/>
      <c r="AA89"/>
    </row>
    <row r="90" ht="25.5" customHeight="1">
      <c r="A90">
        <v>89</v>
      </c>
      <c r="B90" t="inlineStr">
        <is>
          <t>艾草花椒生姜泡脚包</t>
        </is>
      </c>
      <c r="C90" t="inlineStr">
        <is>
          <t>艾草花椒生姜泡脚包1.png</t>
        </is>
      </c>
      <c r="D90">
        <v>29.9</v>
      </c>
      <c r="E90" s="2" t="str">
        <f>=HYPERLINK("https://haohuo.jinritemai.com/ecommerce/trade/detail/index.html?id=3764309022258364747&amp;origin_type=604", "速力达")</f>
        <v>速力达</v>
      </c>
      <c r="F90" t="inlineStr">
        <is>
          <t>https://haohuo.jinritemai.com/ecommerce/trade/detail/index.html?id=3764309022258364747&amp;origin_type=604</t>
        </is>
      </c>
      <c r="G90" s="2"/>
      <c r="H90"/>
      <c r="I90"/>
      <c r="J90" t="inlineStr">
        <is>
          <t>🟢已上架</t>
        </is>
      </c>
      <c r="K90"/>
      <c r="L90" t="inlineStr">
        <is>
          <t>30包/袋</t>
        </is>
      </c>
      <c r="M90"/>
      <c r="N90"/>
      <c r="O90"/>
      <c r="P90"/>
      <c r="Q90"/>
      <c r="R90"/>
      <c r="S90"/>
      <c r="T90"/>
      <c r="U90"/>
      <c r="V90"/>
      <c r="W90"/>
      <c r="X90"/>
      <c r="Y90" t="inlineStr">
        <is>
          <t>百年龙氏足浴包9818</t>
        </is>
      </c>
      <c r="Z90"/>
      <c r="AA90"/>
    </row>
    <row r="91" ht="25.5" customHeight="1">
      <c r="A91">
        <v>90</v>
      </c>
      <c r="B91" t="inlineStr">
        <is>
          <t>老北京十八味泡脚包</t>
        </is>
      </c>
      <c r="C91" t="inlineStr">
        <is>
          <t>老北京十八味泡脚包1.png</t>
        </is>
      </c>
      <c r="D91">
        <v>29.9</v>
      </c>
      <c r="E91" s="2" t="str">
        <f>=HYPERLINK("https://haohuo.jinritemai.com/ecommerce/trade/detail/index.html?id=3764121531886731349&amp;origin_type=604", "速力达")</f>
        <v>速力达</v>
      </c>
      <c r="F91" t="inlineStr">
        <is>
          <t>https://haohuo.jinritemai.com/ecommerce/trade/detail/index.html?id=3764121531886731349&amp;origin_type=604</t>
        </is>
      </c>
      <c r="G91" s="2"/>
      <c r="H91"/>
      <c r="I91"/>
      <c r="J91" t="inlineStr">
        <is>
          <t>🟢已上架</t>
        </is>
      </c>
      <c r="K91"/>
      <c r="L91" t="inlineStr">
        <is>
          <t>30包/袋</t>
        </is>
      </c>
      <c r="M91"/>
      <c r="N91"/>
      <c r="O91"/>
      <c r="P91"/>
      <c r="Q91"/>
      <c r="R91"/>
      <c r="S91"/>
      <c r="T91"/>
      <c r="U91"/>
      <c r="V91"/>
      <c r="W91"/>
      <c r="X91"/>
      <c r="Y91" t="inlineStr">
        <is>
          <t>百年龙氏足浴包9818</t>
        </is>
      </c>
      <c r="Z91"/>
      <c r="AA91"/>
    </row>
    <row r="92" ht="25.5" customHeight="1">
      <c r="A92">
        <v>91</v>
      </c>
      <c r="B92" t="inlineStr">
        <is>
          <t>老姜汁排湿气泡脚液</t>
        </is>
      </c>
      <c r="C92" t="inlineStr">
        <is>
          <t>老姜汁排湿气泡脚液1.jpg</t>
        </is>
      </c>
      <c r="D92">
        <v>29.9</v>
      </c>
      <c r="E92" s="2"/>
      <c r="F92"/>
      <c r="G92" s="2"/>
      <c r="H92"/>
      <c r="I92"/>
      <c r="J92" t="inlineStr">
        <is>
          <t>⚫已下架</t>
        </is>
      </c>
      <c r="K92"/>
      <c r="L92" t="inlineStr">
        <is>
          <t>盒</t>
        </is>
      </c>
      <c r="M92"/>
      <c r="N92"/>
      <c r="O92"/>
      <c r="P92"/>
      <c r="Q92"/>
      <c r="R92"/>
      <c r="S92"/>
      <c r="T92"/>
      <c r="U92"/>
      <c r="V92"/>
      <c r="W92"/>
      <c r="X92"/>
      <c r="Y92" t="inlineStr">
        <is>
          <t>百年龙氏足浴包9818</t>
        </is>
      </c>
      <c r="Z92"/>
      <c r="AA92"/>
    </row>
    <row r="93" ht="25.5" customHeight="1">
      <c r="A93">
        <v>92</v>
      </c>
      <c r="B93" t="inlineStr">
        <is>
          <t>18味花椒艾草泡脚凝珠</t>
        </is>
      </c>
      <c r="C93" t="inlineStr">
        <is>
          <t>18味花椒艾草泡脚凝珠1.jpg</t>
        </is>
      </c>
      <c r="D93">
        <v>19.9</v>
      </c>
      <c r="E93" s="2" t="str">
        <f>=HYPERLINK("https://haohuo.jinritemai.com/ecommerce/trade/detail/index.html?id=3764722245373657498&amp;origin_type=604", "速力达")</f>
        <v>速力达</v>
      </c>
      <c r="F93" t="inlineStr">
        <is>
          <t>https://haohuo.jinritemai.com/ecommerce/trade/detail/index.html?id=3764722245373657498&amp;origin_type=604</t>
        </is>
      </c>
      <c r="G93" s="2"/>
      <c r="H93"/>
      <c r="I93"/>
      <c r="J93" t="inlineStr">
        <is>
          <t>🟢已上架</t>
        </is>
      </c>
      <c r="K93"/>
      <c r="L93" t="inlineStr">
        <is>
          <t>罐</t>
        </is>
      </c>
      <c r="M93"/>
      <c r="N93"/>
      <c r="O93"/>
      <c r="P93"/>
      <c r="Q93"/>
      <c r="R93"/>
      <c r="S93"/>
      <c r="T93"/>
      <c r="U93"/>
      <c r="V93"/>
      <c r="W93"/>
      <c r="X93"/>
      <c r="Y93" t="inlineStr">
        <is>
          <t>百年龙氏足浴包9818</t>
        </is>
      </c>
      <c r="Z93"/>
      <c r="AA93"/>
    </row>
    <row r="94" ht="25.5" customHeight="1">
      <c r="A94">
        <v>93</v>
      </c>
      <c r="B94" t="inlineStr">
        <is>
          <t>浓缩免熬煮二十八味泡脚液</t>
        </is>
      </c>
      <c r="C94" t="inlineStr">
        <is>
          <t>浓缩免熬煮二十八味泡脚液1.jpg</t>
        </is>
      </c>
      <c r="D94">
        <v>29.9</v>
      </c>
      <c r="E94" s="2" t="str">
        <f>=HYPERLINK("https://haohuo.jinritemai.com/ecommerce/trade/detail/index.html?id=3764717106269126748&amp;origin_type=604", "速力达")</f>
        <v>速力达</v>
      </c>
      <c r="F94" t="inlineStr">
        <is>
          <t>https://haohuo.jinritemai.com/ecommerce/trade/detail/index.html?id=3764717106269126748&amp;origin_type=604</t>
        </is>
      </c>
      <c r="G94" s="2"/>
      <c r="H94"/>
      <c r="I94"/>
      <c r="J94" t="inlineStr">
        <is>
          <t>🟢已上架</t>
        </is>
      </c>
      <c r="K94"/>
      <c r="L94" t="inlineStr">
        <is>
          <t>罐</t>
        </is>
      </c>
      <c r="M94"/>
      <c r="N94"/>
      <c r="O94"/>
      <c r="P94"/>
      <c r="Q94"/>
      <c r="R94"/>
      <c r="S94"/>
      <c r="T94"/>
      <c r="U94"/>
      <c r="V94"/>
      <c r="W94"/>
      <c r="X94"/>
      <c r="Y94" t="inlineStr">
        <is>
          <t>百年龙氏足浴包9818</t>
        </is>
      </c>
      <c r="Z94"/>
      <c r="AA94"/>
    </row>
    <row r="95" ht="25.5" customHeight="1">
      <c r="A95">
        <v>94</v>
      </c>
      <c r="B95" t="inlineStr">
        <is>
          <t>浓缩泡脚足浴液</t>
        </is>
      </c>
      <c r="C95" t="inlineStr">
        <is>
          <t>浓缩泡脚足浴液1.jpg</t>
        </is>
      </c>
      <c r="D95">
        <v>19.9</v>
      </c>
      <c r="E95" s="2" t="str">
        <f>=HYPERLINK("https://haohuo.jinritemai.com/ecommerce/trade/detail/index.html?id=3764348209422532849&amp;origin_type=604", "速力达")</f>
        <v>速力达</v>
      </c>
      <c r="F95" t="inlineStr">
        <is>
          <t>https://haohuo.jinritemai.com/ecommerce/trade/detail/index.html?id=3764348209422532849&amp;origin_type=604</t>
        </is>
      </c>
      <c r="G95" s="2"/>
      <c r="H95"/>
      <c r="I95"/>
      <c r="J95" t="inlineStr">
        <is>
          <t>🟢已上架</t>
        </is>
      </c>
      <c r="K95"/>
      <c r="L95"/>
      <c r="M95"/>
      <c r="N95"/>
      <c r="O95"/>
      <c r="P95"/>
      <c r="Q95"/>
      <c r="R95"/>
      <c r="S95"/>
      <c r="T95"/>
      <c r="U95"/>
      <c r="V95"/>
      <c r="W95"/>
      <c r="X95"/>
      <c r="Y95" t="inlineStr">
        <is>
          <t>百年龙氏足浴包9818</t>
        </is>
      </c>
      <c r="Z95"/>
      <c r="AA95"/>
    </row>
    <row r="96" ht="25.5" customHeight="1">
      <c r="A96">
        <v>95</v>
      </c>
      <c r="B96" t="inlineStr">
        <is>
          <t>三伏姜枣茶</t>
        </is>
      </c>
      <c r="C96" t="inlineStr">
        <is>
          <t>三伏姜枣茶1.jpg</t>
        </is>
      </c>
      <c r="D96">
        <v>19.9</v>
      </c>
      <c r="E96" s="2" t="str">
        <f>=HYPERLINK("https://haohuo.jinritemai.com/ecommerce/trade/detail/index.html?id=3764547674079101069&amp;origin_type=604", "速力达")</f>
        <v>速力达</v>
      </c>
      <c r="F96" t="inlineStr">
        <is>
          <t>https://haohuo.jinritemai.com/ecommerce/trade/detail/index.html?id=3764547674079101069&amp;origin_type=604</t>
        </is>
      </c>
      <c r="G96" s="2"/>
      <c r="H96"/>
      <c r="I96"/>
      <c r="J96" t="inlineStr">
        <is>
          <t>⚫已下架</t>
        </is>
      </c>
      <c r="K96"/>
      <c r="L96"/>
      <c r="M96"/>
      <c r="N96"/>
      <c r="O96"/>
      <c r="P96"/>
      <c r="Q96"/>
      <c r="R96"/>
      <c r="S96"/>
      <c r="T96"/>
      <c r="U96"/>
      <c r="V96"/>
      <c r="W96"/>
      <c r="X96"/>
      <c r="Y96" t="inlineStr">
        <is>
          <t>闫总一大健康红糖姜枣代发yxxx</t>
        </is>
      </c>
      <c r="Z96"/>
      <c r="AA96"/>
    </row>
    <row r="97" ht="25.5" customHeight="1">
      <c r="A97">
        <v>96</v>
      </c>
      <c r="B97" t="inlineStr">
        <is>
          <t>双参灵芝元气茶</t>
        </is>
      </c>
      <c r="C97" t="inlineStr">
        <is>
          <t>双参灵芝元气茶1.jpg</t>
        </is>
      </c>
      <c r="D97"/>
      <c r="E97" s="2"/>
      <c r="F97"/>
      <c r="G97" s="2"/>
      <c r="H97"/>
      <c r="I97"/>
      <c r="J97" t="inlineStr">
        <is>
          <t>⚫已下架</t>
        </is>
      </c>
      <c r="K97"/>
      <c r="L97"/>
      <c r="M97"/>
      <c r="N97"/>
      <c r="O97"/>
      <c r="P97"/>
      <c r="Q97"/>
      <c r="R97"/>
      <c r="S97"/>
      <c r="T97"/>
      <c r="U97"/>
      <c r="V97"/>
      <c r="W97"/>
      <c r="X97"/>
      <c r="Y97" t="inlineStr">
        <is>
          <t>闫总一大健康红糖姜枣代发yxxx</t>
        </is>
      </c>
      <c r="Z97"/>
      <c r="AA97"/>
    </row>
    <row r="98" ht="25.5" customHeight="1">
      <c r="A98">
        <v>97</v>
      </c>
      <c r="B98" t="inlineStr">
        <is>
          <t>洋参黄芪菊花枸杞茶</t>
        </is>
      </c>
      <c r="C98" t="inlineStr">
        <is>
          <t>洋参黄芪菊花枸杞茶1.jpg</t>
        </is>
      </c>
      <c r="D98"/>
      <c r="E98" s="2"/>
      <c r="F98"/>
      <c r="G98" s="2"/>
      <c r="H98"/>
      <c r="I98"/>
      <c r="J98" t="inlineStr">
        <is>
          <t>⚫已下架</t>
        </is>
      </c>
      <c r="K98"/>
      <c r="L98"/>
      <c r="M98"/>
      <c r="N98"/>
      <c r="O98"/>
      <c r="P98"/>
      <c r="Q98"/>
      <c r="R98"/>
      <c r="S98"/>
      <c r="T98"/>
      <c r="U98"/>
      <c r="V98"/>
      <c r="W98"/>
      <c r="X98"/>
      <c r="Y98" t="inlineStr">
        <is>
          <t>闫总一大健康红糖姜枣代发yxxx</t>
        </is>
      </c>
      <c r="Z98"/>
      <c r="AA98"/>
    </row>
    <row r="99" ht="25.5" customHeight="1">
      <c r="A99">
        <v>98</v>
      </c>
      <c r="B99" t="inlineStr">
        <is>
          <t>运动机能压缩袜</t>
        </is>
      </c>
      <c r="C99" t="inlineStr">
        <is>
          <t>运动机能压缩袜1.png,运动机能压缩袜2.png</t>
        </is>
      </c>
      <c r="D99">
        <v>19.9</v>
      </c>
      <c r="E99" s="2" t="str">
        <f>=HYPERLINK("https://haohuo.jinritemai.com/ecommerce/trade/detail/index.html?id=3765595568915742820&amp;origin_type=604", "速力达")</f>
        <v>速力达</v>
      </c>
      <c r="F99" t="inlineStr">
        <is>
          <t>https://haohuo.jinritemai.com/ecommerce/trade/detail/index.html?id=3765595568915742820&amp;origin_type=604</t>
        </is>
      </c>
      <c r="G99" s="2"/>
      <c r="H99"/>
      <c r="I99"/>
      <c r="J99" t="inlineStr">
        <is>
          <t>🟢已上架</t>
        </is>
      </c>
      <c r="K99" t="inlineStr">
        <is>
          <t>聚酯纤维</t>
        </is>
      </c>
      <c r="L99"/>
      <c r="M99"/>
      <c r="N99"/>
      <c r="O99"/>
      <c r="P99"/>
      <c r="Q99"/>
      <c r="R99"/>
      <c r="S99"/>
      <c r="T99"/>
      <c r="U99"/>
      <c r="V99"/>
      <c r="W99"/>
      <c r="X99"/>
      <c r="Y99" t="inlineStr">
        <is>
          <t>抖音，小红书，快手:钰袜子</t>
        </is>
      </c>
      <c r="Z99"/>
      <c r="AA99"/>
    </row>
    <row r="100" ht="25.5" customHeight="1">
      <c r="A100">
        <v>99</v>
      </c>
      <c r="B100" t="inlineStr">
        <is>
          <t>运动机能压缩袜短款</t>
        </is>
      </c>
      <c r="C100" t="inlineStr">
        <is>
          <t>运动机能压缩袜短款1.png,运动机能压缩袜短款2.jpg</t>
        </is>
      </c>
      <c r="D100">
        <v>19.9</v>
      </c>
      <c r="E100" s="2" t="str">
        <f>=HYPERLINK("https://haohuo.jinritemai.com/ecommerce/trade/detail/index.html?id=3817642319864266889&amp;origin_type=604", "速力达")</f>
        <v>速力达</v>
      </c>
      <c r="F100" t="inlineStr">
        <is>
          <t>https://haohuo.jinritemai.com/ecommerce/trade/detail/index.html?id=3817642319864266889&amp;origin_type=604</t>
        </is>
      </c>
      <c r="G100" s="2" t="str">
        <f>=HYPERLINK("https://haohuo.jinritemai.com/ecommerce/trade/detail/index.html?id=3817643958268461201&amp;origin_type=604", "速力达")</f>
        <v>速力达</v>
      </c>
      <c r="H100" t="inlineStr">
        <is>
          <t>https://haohuo.jinritemai.com/ecommerce/trade/detail/index.html?id=3817643958268461201&amp;origin_type=604</t>
        </is>
      </c>
      <c r="I100"/>
      <c r="J100" t="inlineStr">
        <is>
          <t>🟢已上架</t>
        </is>
      </c>
      <c r="K100" t="inlineStr">
        <is>
          <t>聚酯纤维, 氨纶</t>
        </is>
      </c>
      <c r="L100"/>
      <c r="M100"/>
      <c r="N100"/>
      <c r="O100"/>
      <c r="P100"/>
      <c r="Q100"/>
      <c r="R100"/>
      <c r="S100"/>
      <c r="T100"/>
      <c r="U100"/>
      <c r="V100"/>
      <c r="W100"/>
      <c r="X100"/>
      <c r="Y100" t="inlineStr">
        <is>
          <t>9818好物家居群</t>
        </is>
      </c>
      <c r="Z100"/>
      <c r="AA100"/>
    </row>
    <row r="101" ht="25.5" customHeight="1">
      <c r="A101">
        <v>100</v>
      </c>
      <c r="B101" t="inlineStr">
        <is>
          <t>户外驱蚊水</t>
        </is>
      </c>
      <c r="C101" t="inlineStr">
        <is>
          <t>户外驱蚊水1.png</t>
        </is>
      </c>
      <c r="D101">
        <v>39.9</v>
      </c>
      <c r="E101" s="2" t="str">
        <f>=HYPERLINK("https://haohuo.jinritemai.com/ecommerce/trade/detail/index.html?id=3765598663364182064&amp;origin_type=604", "速力达")</f>
        <v>速力达</v>
      </c>
      <c r="F101" t="inlineStr">
        <is>
          <t>https://haohuo.jinritemai.com/ecommerce/trade/detail/index.html?id=3765598663364182064&amp;origin_type=604</t>
        </is>
      </c>
      <c r="G101" s="2"/>
      <c r="H101"/>
      <c r="I101"/>
      <c r="J101" t="inlineStr">
        <is>
          <t>⚫已下架</t>
        </is>
      </c>
      <c r="K101"/>
      <c r="L101"/>
      <c r="M101"/>
      <c r="N101"/>
      <c r="O101"/>
      <c r="P101"/>
      <c r="Q101"/>
      <c r="R101"/>
      <c r="S101"/>
      <c r="T101"/>
      <c r="U101"/>
      <c r="V101"/>
      <c r="W101"/>
      <c r="X101"/>
      <c r="Y101" t="inlineStr">
        <is>
          <t>速力优品&amp;世霸-驱蚊代发</t>
        </is>
      </c>
      <c r="Z101"/>
      <c r="AA101"/>
    </row>
    <row r="102" ht="25.5" customHeight="1">
      <c r="A102">
        <v>101</v>
      </c>
      <c r="B102" t="inlineStr">
        <is>
          <t>石墨烯保暖护膝</t>
        </is>
      </c>
      <c r="C102" t="inlineStr">
        <is>
          <t>石墨烯保暖护膝1.jpg</t>
        </is>
      </c>
      <c r="D102">
        <v>49.9</v>
      </c>
      <c r="E102" s="2" t="str">
        <f>=HYPERLINK("https://haohuo.jinritemai.com/ecommerce/trade/detail/index.html?id=3779905313453506612&amp;origin_type=604", "海智")</f>
        <v>海智</v>
      </c>
      <c r="F102" t="inlineStr">
        <is>
          <t>https://haohuo.jinritemai.com/ecommerce/trade/detail/index.html?id=3779905313453506612&amp;origin_type=604</t>
        </is>
      </c>
      <c r="G102" s="2"/>
      <c r="H102"/>
      <c r="I102"/>
      <c r="J102" t="inlineStr">
        <is>
          <t>🟢已上架</t>
        </is>
      </c>
      <c r="K102"/>
      <c r="L102" t="inlineStr">
        <is>
          <t>M码, L码, XL码</t>
        </is>
      </c>
      <c r="M102"/>
      <c r="N102"/>
      <c r="O102"/>
      <c r="P102"/>
      <c r="Q102"/>
      <c r="R102"/>
      <c r="S102"/>
      <c r="T102"/>
      <c r="U102"/>
      <c r="V102"/>
      <c r="W102"/>
      <c r="X102"/>
      <c r="Y102" t="inlineStr">
        <is>
          <t>艾草护膝发货群虞晓雨</t>
        </is>
      </c>
      <c r="Z102"/>
      <c r="AA102"/>
    </row>
    <row r="103" ht="25.5" customHeight="1">
      <c r="A103">
        <v>102</v>
      </c>
      <c r="B103" t="inlineStr">
        <is>
          <t>秋冬护膝</t>
        </is>
      </c>
      <c r="C103" t="inlineStr">
        <is>
          <t>秋冬护膝1.jpg</t>
        </is>
      </c>
      <c r="D103">
        <v>49</v>
      </c>
      <c r="E103" s="2" t="str">
        <f>=HYPERLINK("https://haohuo.jinritemai.com/ecommerce/trade/detail/index.html?id=3786419790906786454&amp;origin_type=604", "速力达")</f>
        <v>速力达</v>
      </c>
      <c r="F103" t="inlineStr">
        <is>
          <t>https://haohuo.jinritemai.com/ecommerce/trade/detail/index.html?id=3786419790906786454&amp;origin_type=604</t>
        </is>
      </c>
      <c r="G103" s="2" t="str">
        <f>=HYPERLINK("https://haohuo.jinritemai.com/ecommerce/trade/detail/index.html?id=3791444720039887319&amp;origin_type=604", "速力达")</f>
        <v>速力达</v>
      </c>
      <c r="H103" t="inlineStr">
        <is>
          <t>https://haohuo.jinritemai.com/ecommerce/trade/detail/index.html?id=3791444720039887319&amp;origin_type=604</t>
        </is>
      </c>
      <c r="I103"/>
      <c r="J103" t="inlineStr">
        <is>
          <t>🟢已上架</t>
        </is>
      </c>
      <c r="K103"/>
      <c r="L103"/>
      <c r="M103"/>
      <c r="N103"/>
      <c r="O103"/>
      <c r="P103"/>
      <c r="Q103"/>
      <c r="R103"/>
      <c r="S103"/>
      <c r="T103"/>
      <c r="U103"/>
      <c r="V103"/>
      <c r="W103"/>
      <c r="X103"/>
      <c r="Y103" t="inlineStr">
        <is>
          <t>艾草护膝发货群虞晓雨</t>
        </is>
      </c>
      <c r="Z103"/>
      <c r="AA103"/>
    </row>
    <row r="104" ht="25.5" customHeight="1">
      <c r="A104">
        <v>103</v>
      </c>
      <c r="B104" t="inlineStr">
        <is>
          <t>护膝绑带</t>
        </is>
      </c>
      <c r="C104" t="inlineStr">
        <is>
          <t>护膝绑带1.png</t>
        </is>
      </c>
      <c r="D104">
        <v>29.9</v>
      </c>
      <c r="E104" s="2" t="str">
        <f>=HYPERLINK("https://haohuo.jinritemai.com/ecommerce/trade/detail/index.html?id=3767483898473349405&amp;origin_type=604", "速力达")</f>
        <v>速力达</v>
      </c>
      <c r="F104" t="inlineStr">
        <is>
          <t>https://haohuo.jinritemai.com/ecommerce/trade/detail/index.html?id=3767483898473349405&amp;origin_type=604</t>
        </is>
      </c>
      <c r="G104" s="2" t="str">
        <f>=HYPERLINK("https://haohuo.jinritemai.com/ecommerce/trade/detail/index.html?id=3809075973014552893&amp;origin_type=604", "速力达-1")</f>
        <v>速力达-1</v>
      </c>
      <c r="H104" t="inlineStr">
        <is>
          <t>https://haohuo.jinritemai.com/ecommerce/trade/detail/index.html?id=3809075973014552893&amp;origin_type=604</t>
        </is>
      </c>
      <c r="I104"/>
      <c r="J104" t="inlineStr">
        <is>
          <t>🟢已上架</t>
        </is>
      </c>
      <c r="K104" t="inlineStr">
        <is>
          <t>氨纶, 乳胶丝, 尼龙</t>
        </is>
      </c>
      <c r="L104" t="inlineStr">
        <is>
          <t>M码, L码, XL码, XXL码</t>
        </is>
      </c>
      <c r="M104"/>
      <c r="N104" t="inlineStr">
        <is>
          <t>长33cm，薄2mm
【XL，XXL外包装没有尺码标注】</t>
        </is>
      </c>
      <c r="O104" t="inlineStr">
        <is>
          <t>140克/副，两幅310克左右</t>
        </is>
      </c>
      <c r="P104"/>
      <c r="Q104"/>
      <c r="R104"/>
      <c r="S104"/>
      <c r="T104"/>
      <c r="U104" t="inlineStr">
        <is>
          <t>image.png,护膝绑带1.mp4,护膝绑带2.mp4</t>
        </is>
      </c>
      <c r="V104" t="inlineStr">
        <is>
          <t>护膝合格证.png</t>
        </is>
      </c>
      <c r="W104" t="inlineStr">
        <is>
          <t>护膝绑带-质检报告.png</t>
        </is>
      </c>
      <c r="X104"/>
      <c r="Y104" t="inlineStr">
        <is>
          <t>艾草护膝发货群虞晓雨</t>
        </is>
      </c>
      <c r="Z104"/>
      <c r="AA104"/>
    </row>
    <row r="105" ht="25.5" customHeight="1">
      <c r="A105">
        <v>104</v>
      </c>
      <c r="B105" t="inlineStr">
        <is>
          <t>艾草护腰带</t>
        </is>
      </c>
      <c r="C105" t="inlineStr">
        <is>
          <t>艾草护腰带1.jpg,艾草护腰带2.jpg</t>
        </is>
      </c>
      <c r="D105">
        <v>29.9</v>
      </c>
      <c r="E105" s="2" t="str">
        <f>=HYPERLINK("https://haohuo.jinritemai.com/ecommerce/trade/detail/index.html?id=3776043734127477232&amp;origin_type=604", "海智")</f>
        <v>海智</v>
      </c>
      <c r="F105" t="inlineStr">
        <is>
          <t>https://haohuo.jinritemai.com/ecommerce/trade/detail/index.html?id=3776043734127477232&amp;origin_type=604</t>
        </is>
      </c>
      <c r="G105" s="2"/>
      <c r="H105"/>
      <c r="I105"/>
      <c r="J105" t="inlineStr">
        <is>
          <t>🟢已上架</t>
        </is>
      </c>
      <c r="K105"/>
      <c r="L105"/>
      <c r="M105"/>
      <c r="N105" t="inlineStr">
        <is>
          <t>长100cm
适配200斤内，面料加延长</t>
        </is>
      </c>
      <c r="O105"/>
      <c r="P105"/>
      <c r="Q105"/>
      <c r="R105"/>
      <c r="S105"/>
      <c r="T105"/>
      <c r="U105"/>
      <c r="V105" t="inlineStr">
        <is>
          <t>护腰合格证.jpg</t>
        </is>
      </c>
      <c r="W105"/>
      <c r="X105"/>
      <c r="Y105" t="inlineStr">
        <is>
          <t>艾草护膝发货群虞晓雨</t>
        </is>
      </c>
      <c r="Z105"/>
      <c r="AA105"/>
    </row>
    <row r="106" ht="25.5" customHeight="1">
      <c r="A106">
        <v>105</v>
      </c>
      <c r="B106" t="inlineStr">
        <is>
          <t>睡眠开肩带</t>
        </is>
      </c>
      <c r="C106" t="inlineStr">
        <is>
          <t>睡眠开肩带1.jpg,睡眠开肩带2.jpg</t>
        </is>
      </c>
      <c r="D106">
        <v>59.9</v>
      </c>
      <c r="E106" s="2" t="str">
        <f>=HYPERLINK("https://haohuo.jinritemai.com/ecommerce/trade/detail/index.html?id=3773439175773257900&amp;origin_type=604", "速力达")</f>
        <v>速力达</v>
      </c>
      <c r="F106" t="inlineStr">
        <is>
          <t>https://haohuo.jinritemai.com/ecommerce/trade/detail/index.html?id=3773439175773257900&amp;origin_type=604</t>
        </is>
      </c>
      <c r="G106" s="2"/>
      <c r="H106"/>
      <c r="I106"/>
      <c r="J106" t="inlineStr">
        <is>
          <t>🟢已上架</t>
        </is>
      </c>
      <c r="K106" t="inlineStr">
        <is>
          <t>德绒</t>
        </is>
      </c>
      <c r="L106" t="inlineStr">
        <is>
          <t>紫色, 黑色</t>
        </is>
      </c>
      <c r="M106"/>
      <c r="N106" t="inlineStr">
        <is>
          <t>尺寸见系列图</t>
        </is>
      </c>
      <c r="O106"/>
      <c r="P106"/>
      <c r="Q106"/>
      <c r="R106"/>
      <c r="S106"/>
      <c r="T106"/>
      <c r="U106" t="inlineStr">
        <is>
          <t>睡眠开肩带1.png</t>
        </is>
      </c>
      <c r="V106"/>
      <c r="W106"/>
      <c r="X106"/>
      <c r="Y106" t="inlineStr">
        <is>
          <t>集采22群桂枫颈椎矫正带-孙老师代发</t>
        </is>
      </c>
      <c r="Z106"/>
      <c r="AA106"/>
    </row>
    <row r="107" ht="25.5" customHeight="1">
      <c r="A107">
        <v>106</v>
      </c>
      <c r="B107" t="inlineStr">
        <is>
          <t>电热艾绒护膝</t>
        </is>
      </c>
      <c r="C107" t="inlineStr">
        <is>
          <t>电热艾绒护膝1.jpg,电热艾绒护膝2.jpg</t>
        </is>
      </c>
      <c r="D107">
        <v>69.9</v>
      </c>
      <c r="E107" s="2" t="str">
        <f>=HYPERLINK("https://haohuo.jinritemai.com/ecommerce/trade/detail/index.html?id=3769356156280111382&amp;origin_type=604", "海智")</f>
        <v>海智</v>
      </c>
      <c r="F107" t="inlineStr">
        <is>
          <t>https://haohuo.jinritemai.com/ecommerce/trade/detail/index.html?id=3769356156280111382&amp;origin_type=604</t>
        </is>
      </c>
      <c r="G107" s="2"/>
      <c r="H107"/>
      <c r="I107"/>
      <c r="J107" t="inlineStr">
        <is>
          <t>🟢已上架</t>
        </is>
      </c>
      <c r="K107" t="inlineStr">
        <is>
          <t>亚麻面料, 艾绒</t>
        </is>
      </c>
      <c r="L107" t="inlineStr">
        <is>
          <t>蓝色, 紫色</t>
        </is>
      </c>
      <c r="M107"/>
      <c r="N107" t="inlineStr">
        <is>
          <t>长59cm*宽31cm</t>
        </is>
      </c>
      <c r="O107"/>
      <c r="P107"/>
      <c r="Q107"/>
      <c r="R107"/>
      <c r="S107" t="inlineStr">
        <is>
          <t>需要定期更换艾绒，建议3个月换一次，可以在我们店铺购买艾绒</t>
        </is>
      </c>
      <c r="T107"/>
      <c r="U107"/>
      <c r="V107"/>
      <c r="W107"/>
      <c r="X107"/>
      <c r="Y107" t="inlineStr">
        <is>
          <t>9818护膝肩颈快手8536</t>
        </is>
      </c>
      <c r="Z107"/>
      <c r="AA107"/>
    </row>
    <row r="108" ht="25.5" customHeight="1">
      <c r="A108">
        <v>107</v>
      </c>
      <c r="B108" t="inlineStr">
        <is>
          <t>艾灸海盐热敷包</t>
        </is>
      </c>
      <c r="C108" t="inlineStr">
        <is>
          <t>艾灸海盐热敷包1.jpg,艾灸海盐热敷包2.jpg</t>
        </is>
      </c>
      <c r="D108">
        <v>48.9</v>
      </c>
      <c r="E108" s="2" t="str">
        <f>=HYPERLINK("https://haohuo.jinritemai.com/ecommerce/trade/detail/index.html?id=3775244389174083981&amp;origin_type=604", "海智")</f>
        <v>海智</v>
      </c>
      <c r="F108" t="inlineStr">
        <is>
          <t>https://haohuo.jinritemai.com/ecommerce/trade/detail/index.html?id=3775244389174083981&amp;origin_type=604</t>
        </is>
      </c>
      <c r="G108" s="2"/>
      <c r="H108"/>
      <c r="I108"/>
      <c r="J108" t="inlineStr">
        <is>
          <t>🟢已上架</t>
        </is>
      </c>
      <c r="K108"/>
      <c r="L108" t="inlineStr">
        <is>
          <t>红色, 蓝色, 灰色</t>
        </is>
      </c>
      <c r="M108"/>
      <c r="N108" t="inlineStr">
        <is>
          <t>65*28cm</t>
        </is>
      </c>
      <c r="O108"/>
      <c r="P108"/>
      <c r="Q108"/>
      <c r="R108"/>
      <c r="S108"/>
      <c r="T108"/>
      <c r="U108"/>
      <c r="V108"/>
      <c r="W108"/>
      <c r="X108"/>
      <c r="Y108" t="inlineStr">
        <is>
          <t>9818护膝肩颈快手8536</t>
        </is>
      </c>
      <c r="Z108"/>
      <c r="AA108"/>
    </row>
    <row r="109" ht="25.5" customHeight="1">
      <c r="A109">
        <v>108</v>
      </c>
      <c r="B109" t="inlineStr">
        <is>
          <t>有机紫苏籽油</t>
        </is>
      </c>
      <c r="C109" t="inlineStr">
        <is>
          <t>有机紫苏籽油1.png</t>
        </is>
      </c>
      <c r="D109">
        <v>89</v>
      </c>
      <c r="E109" s="2" t="str">
        <f>=HYPERLINK("https://store.weixin.qq.com/shop/a/8txm8hcxfNhdisw", "动恒")</f>
        <v>动恒</v>
      </c>
      <c r="F109" t="inlineStr">
        <is>
          <t>https://store.weixin.qq.com/shop/a/8txm8hcxfNhdisw</t>
        </is>
      </c>
      <c r="G109" s="2" t="str">
        <f>=HYPERLINK("https://store.weixin.qq.com/shop/a/oOwBEX5bQJwkMJy", "动恒")</f>
        <v>动恒</v>
      </c>
      <c r="H109" t="inlineStr">
        <is>
          <t>https://store.weixin.qq.com/shop/a/oOwBEX5bQJwkMJy</t>
        </is>
      </c>
      <c r="I109"/>
      <c r="J109" t="inlineStr">
        <is>
          <t>🟢已上架</t>
        </is>
      </c>
      <c r="K109" t="inlineStr">
        <is>
          <t>紫苏籽</t>
        </is>
      </c>
      <c r="L109" t="inlineStr">
        <is>
          <t>瓶</t>
        </is>
      </c>
      <c r="M109"/>
      <c r="N109" t="inlineStr">
        <is>
          <t>285ml/瓶  保质期18个月</t>
        </is>
      </c>
      <c r="O109"/>
      <c r="P109"/>
      <c r="Q109"/>
      <c r="R109"/>
      <c r="S109"/>
      <c r="T109"/>
      <c r="U109"/>
      <c r="V109"/>
      <c r="W109"/>
      <c r="X109"/>
      <c r="Y109" t="inlineStr">
        <is>
          <t>紫苏籽油</t>
        </is>
      </c>
      <c r="Z109"/>
      <c r="AA109"/>
    </row>
    <row r="110" ht="25.5" customHeight="1">
      <c r="A110">
        <v>109</v>
      </c>
      <c r="B110" t="inlineStr">
        <is>
          <t>片仔癀皇后珍珠霜</t>
        </is>
      </c>
      <c r="C110" t="inlineStr">
        <is>
          <t>片仔癀皇后珍珠霜1.jpg</t>
        </is>
      </c>
      <c r="D110">
        <v>29.9</v>
      </c>
      <c r="E110" s="2" t="str">
        <f>=HYPERLINK("https://haohuo.jinritemai.com/ecommerce/trade/detail/index.html?id=3779730216017068099&amp;origin_type=604", "海智")</f>
        <v>海智</v>
      </c>
      <c r="F110" t="inlineStr">
        <is>
          <t>https://haohuo.jinritemai.com/ecommerce/trade/detail/index.html?id=3779730216017068099&amp;origin_type=604</t>
        </is>
      </c>
      <c r="G110" s="2"/>
      <c r="H110"/>
      <c r="I110"/>
      <c r="J110" t="inlineStr">
        <is>
          <t>🟢已上架</t>
        </is>
      </c>
      <c r="K110"/>
      <c r="L110" t="inlineStr">
        <is>
          <t>瓶</t>
        </is>
      </c>
      <c r="M110"/>
      <c r="N110"/>
      <c r="O110" t="inlineStr">
        <is>
          <t>25g</t>
        </is>
      </c>
      <c r="P110"/>
      <c r="Q110"/>
      <c r="R110"/>
      <c r="S110"/>
      <c r="T110"/>
      <c r="U110" t="inlineStr">
        <is>
          <t>片仔癀皇后珍珠霜1.png</t>
        </is>
      </c>
      <c r="V110"/>
      <c r="W110"/>
      <c r="X110"/>
      <c r="Y110" t="inlineStr">
        <is>
          <t>海智动养9818-片仔癀面霜-丹</t>
        </is>
      </c>
      <c r="Z110"/>
      <c r="AA110"/>
    </row>
    <row r="111" ht="25.5" customHeight="1">
      <c r="A111">
        <v>110</v>
      </c>
      <c r="B111" t="inlineStr">
        <is>
          <t>数字瑜伽弹力带</t>
        </is>
      </c>
      <c r="C111" t="inlineStr">
        <is>
          <t>数字瑜伽弹力带1.jpg,数字瑜伽弹力带2.jpg</t>
        </is>
      </c>
      <c r="D111">
        <v>19.9</v>
      </c>
      <c r="E111" s="2"/>
      <c r="F111"/>
      <c r="G111" s="2" t="str">
        <f>=HYPERLINK("https://haohuo.jinritemai.com/ecommerce/trade/detail/index.html?id=3791445387940856110&amp;origin_type=604", "速力达")</f>
        <v>速力达</v>
      </c>
      <c r="H111" t="inlineStr">
        <is>
          <t>https://haohuo.jinritemai.com/ecommerce/trade/detail/index.html?id=3791445387940856110&amp;origin_type=604</t>
        </is>
      </c>
      <c r="I111"/>
      <c r="J111" t="inlineStr">
        <is>
          <t>🟢已上架</t>
        </is>
      </c>
      <c r="K111" t="inlineStr">
        <is>
          <t>涤棉</t>
        </is>
      </c>
      <c r="L111" t="inlineStr">
        <is>
          <t>红色</t>
        </is>
      </c>
      <c r="M111"/>
      <c r="N111" t="inlineStr">
        <is>
          <t>8格≈94cm（适合1.4米以下）
10格≈118cm（适合1.6米以下）
12格≈142cm（适合1.6米以上）</t>
        </is>
      </c>
      <c r="O111" t="inlineStr">
        <is>
          <t>0.600</t>
        </is>
      </c>
      <c r="P111"/>
      <c r="Q111"/>
      <c r="R111" t="inlineStr">
        <is>
          <t>1：多档位自由调节
2：双层套手设计防滑防脱
3：复合针织材质柔软透气 强韧抗拉</t>
        </is>
      </c>
      <c r="S111"/>
      <c r="T111"/>
      <c r="U111"/>
      <c r="V111"/>
      <c r="W111"/>
      <c r="X111"/>
      <c r="Y111" t="inlineStr">
        <is>
          <t>9818好物家居群</t>
        </is>
      </c>
      <c r="Z111"/>
      <c r="AA111"/>
    </row>
    <row r="112" ht="25.5" customHeight="1">
      <c r="A112">
        <v>111</v>
      </c>
      <c r="B112" t="inlineStr">
        <is>
          <t>咬肌训练球</t>
        </is>
      </c>
      <c r="C112" t="inlineStr">
        <is>
          <t>咬肌训练球1.jpg,咬肌训练球2.jpg</t>
        </is>
      </c>
      <c r="D112">
        <v>19.9</v>
      </c>
      <c r="E112" s="2" t="str">
        <f>=HYPERLINK("https://haohuo.jinritemai.com/ecommerce/trade/detail/index.html?id=3784942547567247473&amp;origin_type=604", "海智")</f>
        <v>海智</v>
      </c>
      <c r="F112" t="inlineStr">
        <is>
          <t>https://haohuo.jinritemai.com/ecommerce/trade/detail/index.html?id=3784942547567247473&amp;origin_type=604</t>
        </is>
      </c>
      <c r="G112" s="2"/>
      <c r="H112"/>
      <c r="I112"/>
      <c r="J112" t="inlineStr">
        <is>
          <t>🟢已上架</t>
        </is>
      </c>
      <c r="K112" t="inlineStr">
        <is>
          <t>硅胶</t>
        </is>
      </c>
      <c r="L112" t="inlineStr">
        <is>
          <t>紫色, 蓝色, 绿色, 黑色, 红色</t>
        </is>
      </c>
      <c r="M112"/>
      <c r="N112" t="inlineStr">
        <is>
          <t>最大承受力：25磅</t>
        </is>
      </c>
      <c r="O112"/>
      <c r="P112"/>
      <c r="Q112"/>
      <c r="R112"/>
      <c r="S112"/>
      <c r="T112"/>
      <c r="U112" t="inlineStr">
        <is>
          <t>咬肌训练球.mp4</t>
        </is>
      </c>
      <c r="V112"/>
      <c r="W112"/>
      <c r="X112"/>
      <c r="Y112" t="inlineStr">
        <is>
          <t>9818好物家居群</t>
        </is>
      </c>
      <c r="Z112"/>
      <c r="AA112"/>
    </row>
    <row r="113" ht="25.5" customHeight="1">
      <c r="A113">
        <v>112</v>
      </c>
      <c r="B113" t="inlineStr">
        <is>
          <t>蜂窝透气护腰带</t>
        </is>
      </c>
      <c r="C113" t="inlineStr">
        <is>
          <t>蜂窝透气护腰带1.png</t>
        </is>
      </c>
      <c r="D113">
        <v>69.9</v>
      </c>
      <c r="E113" s="2"/>
      <c r="F113"/>
      <c r="G113" s="2" t="str">
        <f>=HYPERLINK("https://haohuo.jinritemai.com/ecommerce/trade/detail/index.html?id=3798868925421322457&amp;origin_type=604", "速力达")</f>
        <v>速力达</v>
      </c>
      <c r="H113" t="inlineStr">
        <is>
          <t>https://haohuo.jinritemai.com/ecommerce/trade/detail/index.html?id=3798868925421322457&amp;origin_type=604</t>
        </is>
      </c>
      <c r="I113"/>
      <c r="J113" t="inlineStr">
        <is>
          <t>🟢已上架</t>
        </is>
      </c>
      <c r="K113"/>
      <c r="L113"/>
      <c r="M113"/>
      <c r="N113"/>
      <c r="O113"/>
      <c r="P113"/>
      <c r="Q113"/>
      <c r="R113"/>
      <c r="S113"/>
      <c r="T113"/>
      <c r="U113"/>
      <c r="V113"/>
      <c r="W113"/>
      <c r="X113"/>
      <c r="Y113" t="inlineStr">
        <is>
          <t>艾草护膝发货群虞晓雨</t>
        </is>
      </c>
      <c r="Z113"/>
      <c r="AA113"/>
    </row>
    <row r="114" ht="25.5" customHeight="1">
      <c r="A114">
        <v>113</v>
      </c>
      <c r="B114" t="inlineStr">
        <is>
          <t>足底按摩器</t>
        </is>
      </c>
      <c r="C114" t="inlineStr">
        <is>
          <t>猫爪足底按摩器1.jpg,足底按摩器1.jpg</t>
        </is>
      </c>
      <c r="D114">
        <v>29.9</v>
      </c>
      <c r="E114" s="2"/>
      <c r="F114"/>
      <c r="G114" s="2"/>
      <c r="H114"/>
      <c r="I114"/>
      <c r="J114" t="inlineStr">
        <is>
          <t>⚫已下架</t>
        </is>
      </c>
      <c r="K114" t="inlineStr">
        <is>
          <t>pp, ABS</t>
        </is>
      </c>
      <c r="L114" t="inlineStr">
        <is>
          <t>桔色, 紫色, 绿色</t>
        </is>
      </c>
      <c r="M114"/>
      <c r="N114" t="inlineStr">
        <is>
          <t>29.9*13.8cm</t>
        </is>
      </c>
      <c r="O114" t="inlineStr">
        <is>
          <t>0.28kg</t>
        </is>
      </c>
      <c r="P114"/>
      <c r="Q114"/>
      <c r="R114" t="inlineStr">
        <is>
          <t>1：滚珠磁疗双效：滚珠按摩搭配磁疗设计，贴合足底穴位按摩，居家就能做养生足疗，舒缓足部不适；
2：家用便捷操作：无需复杂操作，足底轻踩滚动即可按摩，省时省力，适合日常居家养生；
3：优质耐用材质：做工扎实，滚珠顺滑不卡顿，长期使用不易损坏，适配日常高频按摩需求</t>
        </is>
      </c>
      <c r="S114" t="inlineStr">
        <is>
          <t>滚珠搭配磁疗设计，贴合足底穴位舒缓不适，在家就能轻松做足疗～操作简单，轻踩滚动即可，小巧易收纳不占空间，做工扎实耐用</t>
        </is>
      </c>
      <c r="T114" t="inlineStr">
        <is>
          <t>将按摩器放置在平整地面，光脚踩于滚珠上，前后、左右缓慢移动双脚，利用滚珠滚动按摩足底各部位，根据自身感受调整移动速度和力度，每日按需按摩即可</t>
        </is>
      </c>
      <c r="U114" t="inlineStr">
        <is>
          <t>猫爪足底按摩器1.jpg</t>
        </is>
      </c>
      <c r="V114"/>
      <c r="W114"/>
      <c r="X114"/>
      <c r="Y114" t="inlineStr">
        <is>
          <t>普拉提圈方形.59指压板26轮知文</t>
        </is>
      </c>
      <c r="Z114"/>
      <c r="AA114"/>
    </row>
    <row r="115" ht="25.5" customHeight="1">
      <c r="A115">
        <v>114</v>
      </c>
      <c r="B115" t="inlineStr">
        <is>
          <t>睡眠护腰带</t>
        </is>
      </c>
      <c r="C115" t="inlineStr">
        <is>
          <t>睡眠护腰带1.jpg</t>
        </is>
      </c>
      <c r="D115">
        <v>59.9</v>
      </c>
      <c r="E115" s="2" t="str">
        <f>=HYPERLINK("https://haohuo.jinritemai.com/ecommerce/trade/detail/index.html?id=3791980914494537798&amp;origin_type=604", "速力达")</f>
        <v>速力达</v>
      </c>
      <c r="F115" t="inlineStr">
        <is>
          <t>https://haohuo.jinritemai.com/ecommerce/trade/detail/index.html?id=3791980914494537798&amp;origin_type=604</t>
        </is>
      </c>
      <c r="G115" s="2"/>
      <c r="H115"/>
      <c r="I115"/>
      <c r="J115" t="inlineStr">
        <is>
          <t>🟢已上架</t>
        </is>
      </c>
      <c r="K115" t="inlineStr">
        <is>
          <t>荷兰绒</t>
        </is>
      </c>
      <c r="L115" t="inlineStr">
        <is>
          <t>均码</t>
        </is>
      </c>
      <c r="M115"/>
      <c r="N115" t="inlineStr">
        <is>
          <t>腰围适配：80-120cm</t>
        </is>
      </c>
      <c r="O115"/>
      <c r="P115"/>
      <c r="Q115"/>
      <c r="R115" t="inlineStr">
        <is>
          <t>1：优质亲肤材质：荷兰绒面料搭配高弹填充棉，绒毛短密软糯，贴肤不扎，四季不凉不闷汗，佩戴超舒适；
2：人体工学设计：贴合腰椎自然曲度，360° 立体包裹腰腹，分散腰部压力，避免腰椎悬空，久坐久靠不酸痛；
3：多场景适配：睡觉、办公、开车、做家务均可使用，隐形不占地，弯腰发力更省力，是久坐党护腰神器</t>
        </is>
      </c>
      <c r="S115" t="inlineStr">
        <is>
          <t>360° 立体包裹腰腹，人体工学弧度贴合腰椎，分散腰部压力，告别腰椎悬空酸痛～荷兰绒面料软糯亲肤，四季不凉不闷汗，适配 80-120cm 腰围，套腰即戴，睡觉、办公、开车、做家务都能用，可拆卸设计更灵活</t>
        </is>
      </c>
      <c r="T115" t="inlineStr">
        <is>
          <t>直接将护腰带套在腰腹部，贴合腰椎位置即可，360° 包裹腰腹自然支撑；睡觉、办公、开车等场景按需佩戴，可拆卸款可根据需求拆装配件，使用后取下平铺或轻柔收纳即可</t>
        </is>
      </c>
      <c r="U115"/>
      <c r="V115"/>
      <c r="W115"/>
      <c r="X115"/>
      <c r="Y115" t="inlineStr">
        <is>
          <t>普拉提圈方形.59指压板26轮知文</t>
        </is>
      </c>
      <c r="Z115"/>
      <c r="AA115"/>
    </row>
    <row r="116" ht="25.5" customHeight="1">
      <c r="A116">
        <v>115</v>
      </c>
      <c r="B116" t="inlineStr">
        <is>
          <t>负重手环</t>
        </is>
      </c>
      <c r="C116" t="inlineStr">
        <is>
          <t>负重手环1.jpg,负重手环2.jpg</t>
        </is>
      </c>
      <c r="D116">
        <v>59.9</v>
      </c>
      <c r="E116" s="2" t="str">
        <f>=HYPERLINK("https://haohuo.jinritemai.com/ecommerce/trade/detail/index.html?id=3791986231672439201&amp;origin_type=604", "速力达")</f>
        <v>速力达</v>
      </c>
      <c r="F116" t="inlineStr">
        <is>
          <t>https://haohuo.jinritemai.com/ecommerce/trade/detail/index.html?id=3791986231672439201&amp;origin_type=604</t>
        </is>
      </c>
      <c r="G116" s="2"/>
      <c r="H116"/>
      <c r="I116"/>
      <c r="J116" t="inlineStr">
        <is>
          <t>🟢已上架</t>
        </is>
      </c>
      <c r="K116" t="inlineStr">
        <is>
          <t>硅橡胶, 钊钢, 尼龙魔术贴</t>
        </is>
      </c>
      <c r="L116" t="inlineStr">
        <is>
          <t>紫色, 灰色, 黑色</t>
        </is>
      </c>
      <c r="M116"/>
      <c r="N116" t="inlineStr">
        <is>
          <t>长20cm
宽3cm</t>
        </is>
      </c>
      <c r="O116" t="inlineStr">
        <is>
          <t>≈0.5kg（1对）</t>
        </is>
      </c>
      <c r="P116"/>
      <c r="Q116"/>
      <c r="R116" t="inlineStr">
        <is>
          <t>1：提效燃脂：佩戴后运动可加倍燃脂，提升训练效果，让健身、跑步等运动效率快人一步
2：可调节设计：尺寸可灵活调节，适配不同粗细的手腕、脚踝，佩戴贴合不滑落:
3：隐形便携：隐形设计不突兀，运动时无束缚感，居家、户外使用都合适</t>
        </is>
      </c>
      <c r="S116" t="inlineStr">
        <is>
          <t>可调节尺寸 + 隐形设计，佩戴贴合不滑落，手脚通用超实用～运动时佩戴加倍燃脂，提效训练，跑步、跳操、健身都适配</t>
        </is>
      </c>
      <c r="T116" t="inlineStr">
        <is>
          <t>根据手腕 / 脚踝围度调节手环尺寸，贴合肌肤佩戴好即可；跑步、跳操、健身等各类运动时均可佩戴，运动结束后取下收纳即可</t>
        </is>
      </c>
      <c r="U116" t="inlineStr">
        <is>
          <t>负重手环使用锻炼教程.mp4</t>
        </is>
      </c>
      <c r="V116"/>
      <c r="W116"/>
      <c r="X116"/>
      <c r="Y116" t="inlineStr">
        <is>
          <t>普拉提圈方形.59指压板26轮知文</t>
        </is>
      </c>
      <c r="Z116"/>
      <c r="AA116"/>
    </row>
    <row r="117" ht="25.5" customHeight="1">
      <c r="A117">
        <v>116</v>
      </c>
      <c r="B117" t="inlineStr">
        <is>
          <t>秋梨膏</t>
        </is>
      </c>
      <c r="C117" t="inlineStr">
        <is>
          <t>秋梨膏1.jpg</t>
        </is>
      </c>
      <c r="D117">
        <v>19.9</v>
      </c>
      <c r="E117" s="2"/>
      <c r="F117"/>
      <c r="G117" s="2"/>
      <c r="H117"/>
      <c r="I117"/>
      <c r="J117" t="inlineStr">
        <is>
          <t>⚫已下架</t>
        </is>
      </c>
      <c r="K117"/>
      <c r="L117"/>
      <c r="M117"/>
      <c r="N117"/>
      <c r="O117"/>
      <c r="P117"/>
      <c r="Q117"/>
      <c r="R117"/>
      <c r="S117"/>
      <c r="T117"/>
      <c r="U117"/>
      <c r="V117"/>
      <c r="W117"/>
      <c r="X117"/>
      <c r="Y117" t="inlineStr">
        <is>
          <t>闫总一大健康红糖姜枣代发yxxx</t>
        </is>
      </c>
      <c r="Z117"/>
      <c r="AA117"/>
    </row>
    <row r="118" ht="25.5" customHeight="1">
      <c r="A118">
        <v>117</v>
      </c>
      <c r="B118" t="inlineStr">
        <is>
          <t>九华黄精</t>
        </is>
      </c>
      <c r="C118" t="inlineStr">
        <is>
          <t>九华黄精1.png</t>
        </is>
      </c>
      <c r="D118">
        <v>259</v>
      </c>
      <c r="E118" s="2" t="str">
        <f>=HYPERLINK("https://store.weixin.qq.com/shop/a/Gwu041sIKzajIwD", "动恒")</f>
        <v>动恒</v>
      </c>
      <c r="F118" t="inlineStr">
        <is>
          <t>https://store.weixin.qq.com/shop/a/Gwu041sIKzajIwD</t>
        </is>
      </c>
      <c r="G118" s="2" t="str">
        <f>=HYPERLINK("https://store.weixin.qq.com/shop/a/K8bS1ZzLwQwpWvo", "动恒")</f>
        <v>动恒</v>
      </c>
      <c r="H118" t="inlineStr">
        <is>
          <t>https://store.weixin.qq.com/shop/a/K8bS1ZzLwQwpWvo</t>
        </is>
      </c>
      <c r="I118"/>
      <c r="J118" t="inlineStr">
        <is>
          <t>🟢已上架</t>
        </is>
      </c>
      <c r="K118" t="inlineStr">
        <is>
          <t>黄精</t>
        </is>
      </c>
      <c r="L118" t="inlineStr">
        <is>
          <t>500g/2罐, 250g/罐</t>
        </is>
      </c>
      <c r="M118"/>
      <c r="N118" t="inlineStr">
        <is>
          <t>保质期：180天</t>
        </is>
      </c>
      <c r="O118" t="inlineStr">
        <is>
          <t>250g/罐</t>
        </is>
      </c>
      <c r="P118"/>
      <c r="Q118"/>
      <c r="R118" t="inlineStr">
        <is>
          <t>核心根基:道地珍稀，品质卓绝有机认证:产自安徽九华山核心产区是官方认证的道地药材，九华山绝佳生态环境:九华山独特的气候(阴凉湿润)、土壤(石灰岩石砾土，有机质丰富)、海拔(负氧离子高)造就了黄精的优异品质(多糖、皂苷等有效成分含量高)道地品种:多花黄精:选用《中国药典》记载的药食同源品种，多花黄精，药用价值和滋补效果公认更优。
足年生长，精华沉淀:生长周期长(10年以上)，历经岁月积累，有效成分含量更丰富，滋补
力更强
严苛选材，源头保障:只选用优质、无污染、的九华黄精块茎作为原料古法炮制，更能激发药效，降低滋腻性，提升口感和吸收率。</t>
        </is>
      </c>
      <c r="S118"/>
      <c r="T118" t="inlineStr">
        <is>
          <t>使用方法：
1、开袋即食：每天20g开袋即食
2、泡茶冲饮：每次20g加入100度开水冲泡饮用；
3、煲汤搭配推荐：
   黄精+枸杞 + 猪瘦肉
   黄精+山药 + 鸡肉
   黄精+玉竹
   黄精+当归 + 乌鸡
4、不宜与梅子、大量生姜、蒜一起煲汤。
温馨提示：
以下人群建议少食或不食：
   感冒发烧期间
   肠胃不适者</t>
        </is>
      </c>
      <c r="U118" t="inlineStr">
        <is>
          <t>af4751115c06404f387c19ae2b1beae8.png,image.png</t>
        </is>
      </c>
      <c r="V118"/>
      <c r="W118" t="inlineStr">
        <is>
          <t>image.png</t>
        </is>
      </c>
      <c r="X118"/>
      <c r="Y118" t="inlineStr">
        <is>
          <t>九华黄精</t>
        </is>
      </c>
      <c r="Z118"/>
      <c r="AA118"/>
    </row>
    <row r="119" ht="25.5" customHeight="1">
      <c r="A119">
        <v>118</v>
      </c>
      <c r="B119" t="inlineStr">
        <is>
          <t>夹腿塑腿球</t>
        </is>
      </c>
      <c r="C119" t="inlineStr">
        <is>
          <t>夹腿塑腿球1.jpg</t>
        </is>
      </c>
      <c r="D119">
        <v>128</v>
      </c>
      <c r="E119" s="2" t="str">
        <f>=HYPERLINK("https://haohuo.jinritemai.com/ecommerce/trade/detail/index.html?id=3809637604597563578&amp;origin_type=604", "速力达")</f>
        <v>速力达</v>
      </c>
      <c r="F119" t="inlineStr">
        <is>
          <t>https://haohuo.jinritemai.com/ecommerce/trade/detail/index.html?id=3809637604597563578&amp;origin_type=604</t>
        </is>
      </c>
      <c r="G119" s="2" t="str">
        <f>=HYPERLINK("https://haohuo.jinritemai.com/ecommerce/trade/detail/index.html?id=3809646132078968961&amp;origin_type=604", "速力达")</f>
        <v>速力达</v>
      </c>
      <c r="H119" t="inlineStr">
        <is>
          <t>https://haohuo.jinritemai.com/ecommerce/trade/detail/index.html?id=3809646132078968961&amp;origin_type=604</t>
        </is>
      </c>
      <c r="I119"/>
      <c r="J119" t="inlineStr">
        <is>
          <t>🟢已上架</t>
        </is>
      </c>
      <c r="K119"/>
      <c r="L119" t="inlineStr">
        <is>
          <t>粉色, 紫色, 灰色</t>
        </is>
      </c>
      <c r="M119"/>
      <c r="N119"/>
      <c r="O119" t="inlineStr">
        <is>
          <t>≈300g</t>
        </is>
      </c>
      <c r="P119"/>
      <c r="Q119"/>
      <c r="R119" t="inlineStr">
        <is>
          <t>1，盆底重塑：精准激活盆底肌，改善松弛，改善漏尿困扰,2，提臀塑形：强化臀肌线条，改善臀部下垂，打造紧致臀线,3，美腿紧致：针对大象腿、腿部松弛，塑形瘦腿，优化体态</t>
        </is>
      </c>
      <c r="S119"/>
      <c r="T119"/>
      <c r="U119" t="inlineStr">
        <is>
          <t>夹腿塑腿球1.mp4,夹腿塑腿球2.mp4</t>
        </is>
      </c>
      <c r="V119"/>
      <c r="W119"/>
      <c r="X119"/>
      <c r="Y119" t="inlineStr">
        <is>
          <t>普拉提圈方形.59指压板26轮知文</t>
        </is>
      </c>
      <c r="Z119"/>
      <c r="AA119"/>
    </row>
    <row r="120" ht="25.5" customHeight="1">
      <c r="A120">
        <v>119</v>
      </c>
      <c r="B120" t="inlineStr">
        <is>
          <t>5轴20轮按摩器</t>
        </is>
      </c>
      <c r="C120" t="inlineStr">
        <is>
          <t>5轴20轮按摩器1.jpg</t>
        </is>
      </c>
      <c r="D120">
        <v>39.9</v>
      </c>
      <c r="E120" s="2"/>
      <c r="F120"/>
      <c r="G120" s="2"/>
      <c r="H120"/>
      <c r="I120"/>
      <c r="J120" t="inlineStr">
        <is>
          <t>⚫已下架</t>
        </is>
      </c>
      <c r="K120"/>
      <c r="L120"/>
      <c r="M120"/>
      <c r="N120"/>
      <c r="O120"/>
      <c r="P120"/>
      <c r="Q120"/>
      <c r="R120"/>
      <c r="S120"/>
      <c r="T120"/>
      <c r="U120"/>
      <c r="V120"/>
      <c r="W120"/>
      <c r="X120"/>
      <c r="Y120"/>
      <c r="Z120"/>
      <c r="AA120"/>
    </row>
    <row r="121" ht="25.5" customHeight="1">
      <c r="A121">
        <v>120</v>
      </c>
      <c r="B121" t="inlineStr">
        <is>
          <t>黄瓜籽粉</t>
        </is>
      </c>
      <c r="C121" t="inlineStr">
        <is>
          <t>黄瓜籽粉1.png</t>
        </is>
      </c>
      <c r="D121">
        <v>29.9</v>
      </c>
      <c r="E121" s="2"/>
      <c r="F121"/>
      <c r="G121" s="2"/>
      <c r="H121"/>
      <c r="I121"/>
      <c r="J121" t="inlineStr">
        <is>
          <t>⚫已下架</t>
        </is>
      </c>
      <c r="K121"/>
      <c r="L121" t="inlineStr">
        <is>
          <t>黄瓜籽粉500g*1罐, 黄瓜籽粉两罐500g*2罐, 黄瓜籽粉（买二送一）500g*3罐</t>
        </is>
      </c>
      <c r="M121"/>
      <c r="N121"/>
      <c r="O121"/>
      <c r="P121"/>
      <c r="Q121"/>
      <c r="R121"/>
      <c r="S121"/>
      <c r="T121"/>
      <c r="U121"/>
      <c r="V121"/>
      <c r="W121"/>
      <c r="X121"/>
      <c r="Y121" t="inlineStr">
        <is>
          <t>鲸鱼啡特燕麦麸皮店管家对接</t>
        </is>
      </c>
      <c r="Z121"/>
      <c r="AA121"/>
    </row>
    <row r="122" ht="25.5" customHeight="1">
      <c r="A122">
        <v>121</v>
      </c>
      <c r="B122" t="inlineStr">
        <is>
          <t>腰部拉伸器</t>
        </is>
      </c>
      <c r="C122" t="inlineStr">
        <is>
          <t>腰部拉伸器1.png</t>
        </is>
      </c>
      <c r="D122">
        <v>29.9</v>
      </c>
      <c r="E122" s="2" t="str">
        <f>=HYPERLINK("https://haohuo.jinritemai.com/ecommerce/trade/detail/index.html?id=3757116704400998509&amp;origin_type=604", "速力达")</f>
        <v>速力达</v>
      </c>
      <c r="F122" t="inlineStr">
        <is>
          <t>https://haohuo.jinritemai.com/ecommerce/trade/detail/index.html?id=3757116704400998509&amp;origin_type=604</t>
        </is>
      </c>
      <c r="G122" s="2" t="str">
        <f>=HYPERLINK("https://haohuo.jinritemai.com/ecommerce/trade/detail/index.html?id=3767886964058095629&amp;origin_type=604", "速力达")</f>
        <v>速力达</v>
      </c>
      <c r="H122" t="inlineStr">
        <is>
          <t>https://haohuo.jinritemai.com/ecommerce/trade/detail/index.html?id=3767886964058095629&amp;origin_type=604</t>
        </is>
      </c>
      <c r="I122"/>
      <c r="J122" t="inlineStr">
        <is>
          <t>🟢已上架</t>
        </is>
      </c>
      <c r="K122" t="inlineStr">
        <is>
          <t>pp, 硅胶, 磁石</t>
        </is>
      </c>
      <c r="L122" t="inlineStr">
        <is>
          <t>粉色, 紫色, 蓝色, 灰色</t>
        </is>
      </c>
      <c r="M122"/>
      <c r="N122" t="inlineStr">
        <is>
          <t>标准版：长36.5 宽16
可调高度：4.5CM-12.5cm</t>
        </is>
      </c>
      <c r="O122" t="inlineStr">
        <is>
          <t>重量：460G
承重：200斤</t>
        </is>
      </c>
      <c r="P122"/>
      <c r="Q122"/>
      <c r="R122" t="inlineStr">
        <is>
          <t>1.无极调节，四挡可控 磁石按摩 环保硅胶
2.坐躺两用 托举腰部
3.磁石深度按摩 平衡生物电磁 防针灸按摩 平衡肌张力</t>
        </is>
      </c>
      <c r="S122" t="inlineStr">
        <is>
          <t>能够对腰部提供一定的物理支撑，帮助维持腰椎的正常生理曲度，可以贴合腰椎的曲线，分担腰部承受的部分压力，减少脊柱负担，尤其是在坐姿或站姿时，能够在一定程度上纠正不良姿势，有助于改善腰椎部位肌肉痉挛的情况，纠正骨盆前倾缓解腰疼不适。</t>
        </is>
      </c>
      <c r="T122" t="inlineStr">
        <is>
          <t>【使用保健法】
仰卧或背靠,将腰椎理疗垫横放于腰部下方。
上下移动，舒适即可。
初次10-20分钟，适应后可适当延长时间。</t>
        </is>
      </c>
      <c r="U122" t="inlineStr">
        <is>
          <t>腰部拉伸器1.png</t>
        </is>
      </c>
      <c r="V122"/>
      <c r="W122"/>
      <c r="X122"/>
      <c r="Y122" t="inlineStr">
        <is>
          <t>普拉提圈方形.59指压板26轮知文</t>
        </is>
      </c>
      <c r="Z122"/>
      <c r="AA122"/>
    </row>
    <row r="123" ht="25.5" customHeight="1">
      <c r="A123">
        <v>122</v>
      </c>
      <c r="B123" t="inlineStr">
        <is>
          <t>三档可调节拉力器</t>
        </is>
      </c>
      <c r="C123" t="inlineStr">
        <is>
          <t>三档可调节拉力器1.jpg,三档可调节拉力器2.jpg,三档可调节拉力器3.jpg</t>
        </is>
      </c>
      <c r="D123">
        <v>99.9</v>
      </c>
      <c r="E123" s="2" t="str">
        <f>=HYPERLINK("https://haohuo.jinritemai.com/ecommerce/trade/detail/index.html?id=3811864497887510648&amp;origin_type=604", "速力达")</f>
        <v>速力达</v>
      </c>
      <c r="F123" t="inlineStr">
        <is>
          <t>https://haohuo.jinritemai.com/ecommerce/trade/detail/index.html?id=3811864497887510648&amp;origin_type=604</t>
        </is>
      </c>
      <c r="G123" s="2" t="str">
        <f>=HYPERLINK("https://haohuo.jinritemai.com/ecommerce/trade/detail/index.html?id=3811862904479809795&amp;origin_type=604", "速力达")</f>
        <v>速力达</v>
      </c>
      <c r="H123" t="inlineStr">
        <is>
          <t>https://haohuo.jinritemai.com/ecommerce/trade/detail/index.html?id=3811862904479809795&amp;origin_type=604</t>
        </is>
      </c>
      <c r="I123"/>
      <c r="J123" t="inlineStr">
        <is>
          <t>🟢已上架</t>
        </is>
      </c>
      <c r="K123" t="inlineStr">
        <is>
          <t>TPE软胶, ABS</t>
        </is>
      </c>
      <c r="L123" t="inlineStr">
        <is>
          <t>紫色, 蓝色</t>
        </is>
      </c>
      <c r="M123"/>
      <c r="N123" t="inlineStr">
        <is>
          <t>37x41.5cm</t>
        </is>
      </c>
      <c r="O123" t="inlineStr">
        <is>
          <t>560g</t>
        </is>
      </c>
      <c r="P123"/>
      <c r="Q123"/>
      <c r="R123" t="inlineStr">
        <is>
          <t>1.三档可调设计，适配新手入门与进阶训练，强度自由把控。
2.一机多用，可瘦腰腹、美背塑型、练手臂腿部，训练效果全面。
3.体积小巧不占空间，易收纳携带，居家、出差都能随时健身。</t>
        </is>
      </c>
      <c r="S123" t="inlineStr">
        <is>
          <t>1.居家多功能健身器材，专为日常塑形、力量训练打造，男女老少均可使用。
2.选用高弹TPE拉力管与ABS防滑材质，结构牢固，使用安全舒适无异味。
3.三档力度可自由调节，满足不同阶段健身需求，轻松实现全身综合锻炼。</t>
        </is>
      </c>
      <c r="T123" t="inlineStr">
        <is>
          <t>1.双脚平稳踩住脚踏，双手握紧手柄，保持身体姿势稳定。
2.可仰卧蹬拉锻炼腰腹，站姿拉伸舒展肩背，坐姿训练改善线条。
3.动作匀速发力，避免猛拉猛放，每日坚持练习，轻松塑造好身材。</t>
        </is>
      </c>
      <c r="U123" t="inlineStr">
        <is>
          <t>三档可调节拉力器1.jpg,三档可调节拉力器2.mp4,三档可调节拉力器3.mp4</t>
        </is>
      </c>
      <c r="V123"/>
      <c r="W123"/>
      <c r="X123"/>
      <c r="Y123" t="inlineStr">
        <is>
          <t>普拉提圈方形.59指压板26轮知文</t>
        </is>
      </c>
      <c r="Z123"/>
      <c r="AA123"/>
    </row>
    <row r="124" ht="25.5" customHeight="1">
      <c r="A124">
        <v>123</v>
      </c>
      <c r="B124" t="inlineStr">
        <is>
          <t>肩颈按摩枕</t>
        </is>
      </c>
      <c r="C124" t="inlineStr">
        <is>
          <t>肩颈按摩枕1.jpg,肩颈按摩枕2.jpg</t>
        </is>
      </c>
      <c r="D124">
        <v>79.9</v>
      </c>
      <c r="E124" s="2" t="str">
        <f>=HYPERLINK("https://haohuo.jinritemai.com/ecommerce/trade/detail/index.html?id=3797367864382587029&amp;origin_type=604", "速力达")</f>
        <v>速力达</v>
      </c>
      <c r="F124" t="inlineStr">
        <is>
          <t>https://haohuo.jinritemai.com/ecommerce/trade/detail/index.html?id=3797367864382587029&amp;origin_type=604</t>
        </is>
      </c>
      <c r="G124" s="2" t="str">
        <f>=HYPERLINK("https://haohuo.jinritemai.com/ecommerce/trade/detail/index.html?id=3797367864382587029&amp;origin_type=604", "速力达")</f>
        <v>速力达</v>
      </c>
      <c r="H124" t="inlineStr">
        <is>
          <t>https://haohuo.jinritemai.com/ecommerce/trade/detail/index.html?id=3797367864382587029&amp;origin_type=604</t>
        </is>
      </c>
      <c r="I124"/>
      <c r="J124" t="inlineStr">
        <is>
          <t>🟢已上架</t>
        </is>
      </c>
      <c r="K124" t="inlineStr">
        <is>
          <t>聚氨酯PU</t>
        </is>
      </c>
      <c r="L124" t="inlineStr">
        <is>
          <t>米白色</t>
        </is>
      </c>
      <c r="M124"/>
      <c r="N124"/>
      <c r="O124"/>
      <c r="P124"/>
      <c r="Q124"/>
      <c r="R124"/>
      <c r="S124"/>
      <c r="T124"/>
      <c r="U124"/>
      <c r="V124"/>
      <c r="W124"/>
      <c r="X124"/>
      <c r="Y124" t="inlineStr">
        <is>
          <t>集采22群桂枫颈椎矫正带-孙老师代发</t>
        </is>
      </c>
      <c r="Z124"/>
      <c r="AA124"/>
    </row>
    <row r="125" ht="25.5" customHeight="1">
      <c r="A125">
        <v>124</v>
      </c>
      <c r="B125" t="inlineStr">
        <is>
          <t>电子握力器</t>
        </is>
      </c>
      <c r="C125" t="inlineStr">
        <is>
          <t>电子握力器1.png,电子握力器2.png</t>
        </is>
      </c>
      <c r="D125">
        <v>29.9</v>
      </c>
      <c r="E125" s="2" t="str">
        <f>=HYPERLINK("https://haohuo.jinritemai.com/ecommerce/trade/detail/index.html?id=3762665495040491660&amp;origin_type=604", "速力达")</f>
        <v>速力达</v>
      </c>
      <c r="F125" t="inlineStr">
        <is>
          <t>https://haohuo.jinritemai.com/ecommerce/trade/detail/index.html?id=3762665495040491660&amp;origin_type=604</t>
        </is>
      </c>
      <c r="G125" s="2"/>
      <c r="H125"/>
      <c r="I125"/>
      <c r="J125" t="inlineStr">
        <is>
          <t>⚫已下架</t>
        </is>
      </c>
      <c r="K125" t="inlineStr">
        <is>
          <t>ABS, 金属</t>
        </is>
      </c>
      <c r="L125" t="inlineStr">
        <is>
          <t>钢本色, 黑钢色, 环形手掌握力器组合装</t>
        </is>
      </c>
      <c r="M125"/>
      <c r="N125" t="inlineStr">
        <is>
          <t>产品规格：13CM*17CM*2CM
力度大小：10KG-100KG
弹簧直径：3MM</t>
        </is>
      </c>
      <c r="O125"/>
      <c r="P125"/>
      <c r="Q125"/>
      <c r="R125" t="inlineStr">
        <is>
          <t>1、实时计数
2、握力可调
3、TPR手柄弹性好，安全防滑握感舒适
4、加粗拉力弹簧</t>
        </is>
      </c>
      <c r="S125"/>
      <c r="T125"/>
      <c r="U125" t="inlineStr">
        <is>
          <t>电子握力器1.png</t>
        </is>
      </c>
      <c r="V125"/>
      <c r="W125"/>
      <c r="X125"/>
      <c r="Y125" t="inlineStr">
        <is>
          <t>普拉提圈方形.59指压板26轮知文</t>
        </is>
      </c>
      <c r="Z125"/>
      <c r="AA125"/>
    </row>
    <row r="126" ht="25.5" customHeight="1">
      <c r="A126">
        <v>125</v>
      </c>
      <c r="B126" t="inlineStr">
        <is>
          <t>吸附电动筋膜按摩球</t>
        </is>
      </c>
      <c r="C126" t="inlineStr">
        <is>
          <t>吸附电动筋膜按摩球1.png</t>
        </is>
      </c>
      <c r="D126">
        <v>59.9</v>
      </c>
      <c r="E126" s="2" t="str">
        <f>=HYPERLINK("https://www.xiaohongshu.com/goods-detail/69ddcdc6b24fe700017ca8e7?t=1776145741609&amp;xsec_token=ABUmYnwP33AOzx_X97TacdN6uxlAns9AYmuXyUyvAJ704%3D&amp;xsec_source=pc_arkselfshare", "坦彦")</f>
        <v>坦彦</v>
      </c>
      <c r="F126" t="inlineStr">
        <is>
          <t>https://www.xiaohongshu.com/goods-detail/69ddcdc6b24fe700017ca8e7?t=1776145741609&amp;xsec_token=ABUmYnwP33AOzx_X97TacdN6uxlAns9AYmuXyUyvAJ704%3D&amp;xsec_source=pc_arkselfshare</t>
        </is>
      </c>
      <c r="G126" s="2"/>
      <c r="H126"/>
      <c r="I126"/>
      <c r="J126" t="inlineStr">
        <is>
          <t>🟢已上架</t>
        </is>
      </c>
      <c r="K126" t="inlineStr">
        <is>
          <t>硅胶</t>
        </is>
      </c>
      <c r="L126" t="inlineStr">
        <is>
          <t>天际蓝, 云层灰, 霞光紫, 菘蓝绿</t>
        </is>
      </c>
      <c r="M126"/>
      <c r="N126" t="inlineStr">
        <is>
          <t>最大直径7cm高7.5CM</t>
        </is>
      </c>
      <c r="O126" t="inlineStr">
        <is>
          <t>约140G</t>
        </is>
      </c>
      <c r="P126"/>
      <c r="Q126"/>
      <c r="R126" t="inlineStr">
        <is>
          <t>1、体积小便携带
2、双二挡可调节</t>
        </is>
      </c>
      <c r="S126" t="inlineStr">
        <is>
          <t>USB充电口</t>
        </is>
      </c>
      <c r="T126"/>
      <c r="U126"/>
      <c r="V126"/>
      <c r="W126"/>
      <c r="X126"/>
      <c r="Y126" t="inlineStr">
        <is>
          <t>普拉提圈方形.59指压板26轮知文</t>
        </is>
      </c>
      <c r="Z126"/>
      <c r="AA126"/>
    </row>
    <row r="127" ht="25.5" customHeight="1">
      <c r="A127">
        <v>126</v>
      </c>
      <c r="B127" t="inlineStr">
        <is>
          <t>硅胶双弹簧强支撑护膝</t>
        </is>
      </c>
      <c r="C127" t="inlineStr">
        <is>
          <t>半月板绑带护膝1.jpg,半月板绑带护膝2.jpg</t>
        </is>
      </c>
      <c r="D127">
        <v>59.9</v>
      </c>
      <c r="E127" s="2" t="str">
        <f>=HYPERLINK("https://www.xiaohongshu.com/goods-detail/69df4361cfc3750001cdcdb5?t=1776241383205&amp;xsec_token=ABVDqYtqykkRwnH396IcjJL6d46ozbW6c7DfE7HdENekY%3D&amp;xsec_source=pc_arkselfshare", "坦彦")</f>
        <v>坦彦</v>
      </c>
      <c r="F127" t="inlineStr">
        <is>
          <t>https://www.xiaohongshu.com/goods-detail/69df4361cfc3750001cdcdb5?t=1776241383205&amp;xsec_token=ABVDqYtqykkRwnH396IcjJL6d46ozbW6c7DfE7HdENekY%3D&amp;xsec_source=pc_arkselfshare</t>
        </is>
      </c>
      <c r="G127" s="2" t="str">
        <f>=HYPERLINK("https://www.xiaohongshu.com/goods-detail/69df472bddd1650001e819d0?t=1776241383205&amp;xsec_token=ABCIJVuH_E5add5Kkj7B41BC5bUuQ1JVMefmrDELf1vOE%3D&amp;xsec_source=pc_arkselfshare", "坦彦")</f>
        <v>坦彦</v>
      </c>
      <c r="H127" t="inlineStr">
        <is>
          <t>https://www.xiaohongshu.com/goods-detail/69df472bddd1650001e819d0?t=1776241383205&amp;xsec_token=ABCIJVuH_E5add5Kkj7B41BC5bUuQ1JVMefmrDELf1vOE%3D&amp;xsec_source=pc_arkselfshare</t>
        </is>
      </c>
      <c r="I127"/>
      <c r="J127" t="inlineStr">
        <is>
          <t>🟢已上架</t>
        </is>
      </c>
      <c r="K127" t="inlineStr">
        <is>
          <t>TPE软胶, 涤纶</t>
        </is>
      </c>
      <c r="L127" t="inlineStr">
        <is>
          <t>M码, L码, XL码, XXL码</t>
        </is>
      </c>
      <c r="M127"/>
      <c r="N127" t="inlineStr">
        <is>
          <t>下宽度=14cm
M码： 上=16cm
L码： 上=17cm
XL码： 上=18cm
XXL码：上=19cm
产品长度：32cm</t>
        </is>
      </c>
      <c r="O127" t="inlineStr">
        <is>
          <t>350克/对</t>
        </is>
      </c>
      <c r="P127"/>
      <c r="Q127"/>
      <c r="R127" t="inlineStr">
        <is>
          <t>1、创新髌骨固定：精准承托髌骨，减少摩擦与磨损，缓解膝盖疼痛
2、TPE 减震 + 双弹簧支撑：升级 TPE 缓震，日本进口硅胶镀层弹簧，强支撑、抗弯折、水洗不生锈
3、三重防滑绑带：三拉环稳固设计，跑跳不滑落、不卷边、久戴不勒腿
4、人体工学贴合：均衡分压，适配日常 / 运动 / 术后防护，男女通用</t>
        </is>
      </c>
      <c r="S127" t="inlineStr">
        <is>
          <t>创新髌骨带 + TPE 减震，稳定髌骨、减轻膝盖压力；双侧硅胶镀层弹簧强支撑、水洗不生锈；三重防滑绑带，跑跳不滑。运动防护、半月板不适、术后养护都能用</t>
        </is>
      </c>
      <c r="T127"/>
      <c r="U127" t="inlineStr">
        <is>
          <t>半月板护膝穿戴视频.mp4,半月板绑带护膝1.jpg</t>
        </is>
      </c>
      <c r="V127" t="inlineStr">
        <is>
          <t>半月板绑带护膝-质检报告.png</t>
        </is>
      </c>
      <c r="W127"/>
      <c r="X127"/>
      <c r="Y127" t="inlineStr">
        <is>
          <t>艾草护膝发货群虞晓雨</t>
        </is>
      </c>
      <c r="Z127"/>
      <c r="AA127"/>
    </row>
    <row r="128" ht="25.5" customHeight="1">
      <c r="A128">
        <v>127</v>
      </c>
      <c r="B128" t="inlineStr">
        <is>
          <t>椰奶益生菌麦片-九栀堂</t>
        </is>
      </c>
      <c r="C128" t="inlineStr">
        <is>
          <t>椰奶益生菌麦片-九栀堂1.jpg</t>
        </is>
      </c>
      <c r="D128">
        <v>29.9</v>
      </c>
      <c r="E128" s="2" t="str">
        <f>=HYPERLINK("https://haohuo.jinritemai.com/ecommerce/trade/detail/index.html?id=3760270052075634919&amp;origin_type=604", "速力达")</f>
        <v>速力达</v>
      </c>
      <c r="F128" t="inlineStr">
        <is>
          <t>https://haohuo.jinritemai.com/ecommerce/trade/detail/index.html?id=3760270052075634919&amp;origin_type=604</t>
        </is>
      </c>
      <c r="G128" s="2"/>
      <c r="H128"/>
      <c r="I128"/>
      <c r="J128" t="inlineStr">
        <is>
          <t>🟢已上架</t>
        </is>
      </c>
      <c r="K128" t="inlineStr">
        <is>
          <t>复合麦片（小麦、燕麦、大米、玉米、大豆、麦芽提取物、食用盐）, 海藻糖, 椰浆粉, 全脂乳红枣丁, 益生菌粉(凝结芽孢杆菌BC99）＞1%</t>
        </is>
      </c>
      <c r="L128" t="inlineStr">
        <is>
          <t>1罐, 2罐, 3罐</t>
        </is>
      </c>
      <c r="M128"/>
      <c r="N128" t="inlineStr">
        <is>
          <t>1年</t>
        </is>
      </c>
      <c r="O128" t="inlineStr">
        <is>
          <t>400g</t>
        </is>
      </c>
      <c r="P128"/>
      <c r="Q128"/>
      <c r="R128"/>
      <c r="S128"/>
      <c r="T128"/>
      <c r="U128"/>
      <c r="V128"/>
      <c r="W128"/>
      <c r="X128"/>
      <c r="Y128"/>
      <c r="Z128"/>
      <c r="AA128"/>
    </row>
    <row r="129" ht="25.5" customHeight="1">
      <c r="A129">
        <v>138</v>
      </c>
      <c r="B129" t="inlineStr">
        <is>
          <t>艾草颈椎枕</t>
        </is>
      </c>
      <c r="C129" t="inlineStr">
        <is>
          <t>艾草颈椎枕1.png,艾草颈椎枕2.png,艾草颈椎枕3.png</t>
        </is>
      </c>
      <c r="D129">
        <v>9.9</v>
      </c>
      <c r="E129" s="2"/>
      <c r="F129"/>
      <c r="G129" s="2" t="str">
        <f>=HYPERLINK("https://haohuo.jinritemai.com/ecommerce/trade/detail/index.html?id=3796631034750173583&amp;origin_type=604", "速力达")</f>
        <v>速力达</v>
      </c>
      <c r="H129" t="inlineStr">
        <is>
          <t>https://haohuo.jinritemai.com/ecommerce/trade/detail/index.html?id=3796631034750173583&amp;origin_type=604</t>
        </is>
      </c>
      <c r="I129"/>
      <c r="J129" t="inlineStr">
        <is>
          <t>🟢已上架</t>
        </is>
      </c>
      <c r="K129" t="inlineStr">
        <is>
          <t>艾草杆</t>
        </is>
      </c>
      <c r="L129"/>
      <c r="M129"/>
      <c r="N129" t="inlineStr">
        <is>
          <t>38*8*8</t>
        </is>
      </c>
      <c r="O129" t="inlineStr">
        <is>
          <t>0.7KG</t>
        </is>
      </c>
      <c r="P129"/>
      <c r="Q129"/>
      <c r="R129"/>
      <c r="S129"/>
      <c r="T129"/>
      <c r="U129"/>
      <c r="V129"/>
      <c r="W129"/>
      <c r="X129"/>
      <c r="Y129" t="inlineStr">
        <is>
          <t>艾草枕糖果-9818南阳发货</t>
        </is>
      </c>
      <c r="Z129"/>
      <c r="AA129"/>
    </row>
    <row r="130" ht="25.5" customHeight="1">
      <c r="A130">
        <v>142</v>
      </c>
      <c r="B130" t="inlineStr">
        <is>
          <t>26轮腿部按摩神器</t>
        </is>
      </c>
      <c r="C130" t="inlineStr">
        <is>
          <t>26轮腿部按摩神器1.jpg,26轮腿部按摩神器2.jpg</t>
        </is>
      </c>
      <c r="D130">
        <v>36.9</v>
      </c>
      <c r="E130" s="2" t="str">
        <f>=HYPERLINK("https://haohuo.jinritemai.com/ecommerce/trade/detail/index.html?id=3767886656884048073&amp;origin_type=604", "速力达")</f>
        <v>速力达</v>
      </c>
      <c r="F130" t="inlineStr">
        <is>
          <t>https://haohuo.jinritemai.com/ecommerce/trade/detail/index.html?id=3767886656884048073&amp;origin_type=604</t>
        </is>
      </c>
      <c r="G130" s="2" t="str">
        <f>=HYPERLINK("https://haohuo.jinritemai.com/ecommerce/trade/detail/index.html?id=3791444726641721771&amp;origin_type=604", "速力达")</f>
        <v>速力达</v>
      </c>
      <c r="H130" t="inlineStr">
        <is>
          <t>https://haohuo.jinritemai.com/ecommerce/trade/detail/index.html?id=3791444726641721771&amp;origin_type=604</t>
        </is>
      </c>
      <c r="I130"/>
      <c r="J130" t="inlineStr">
        <is>
          <t>🟢已上架</t>
        </is>
      </c>
      <c r="K130" t="inlineStr">
        <is>
          <t>pp</t>
        </is>
      </c>
      <c r="L130" t="inlineStr">
        <is>
          <t>粉色, 紫色, 绿色</t>
        </is>
      </c>
      <c r="M130"/>
      <c r="N130" t="inlineStr">
        <is>
          <t>260mm</t>
        </is>
      </c>
      <c r="O130" t="inlineStr">
        <is>
          <t>0.47kg</t>
        </is>
      </c>
      <c r="P130"/>
      <c r="Q130"/>
      <c r="R130" t="inlineStr">
        <is>
          <t>1.小菠萝双层按摩 模拟双手按摩
2.聚拢滚动按摩 好用不夹肉 根据腿部曲线 灵活按压
3.舒展手臂肌肉 深入肌理 缓解酸痛感
4.防断弹性材质 久用不变形 随心调节腿围</t>
        </is>
      </c>
      <c r="S130" t="inlineStr">
        <is>
          <t>这款夹腿器适合腿部按摩、缓解肌肉疲劳、运动放松，
疏通经络，坚持三个星期到一个月不等，
效果就会出来了，看个人体质哦！</t>
        </is>
      </c>
      <c r="T130"/>
      <c r="U130" t="inlineStr">
        <is>
          <t>26轮夹腿器使用.mp4,26轮腿部按摩神器1.jpg</t>
        </is>
      </c>
      <c r="V130"/>
      <c r="W130" t="inlineStr">
        <is>
          <t>滚轮按摩器质检报告.png</t>
        </is>
      </c>
      <c r="X130"/>
      <c r="Y130" t="inlineStr">
        <is>
          <t>普拉提圈方形.59指压板26轮知文</t>
        </is>
      </c>
      <c r="Z130"/>
      <c r="AA130"/>
    </row>
    <row r="131" ht="25.5" customHeight="1">
      <c r="A131">
        <v>225</v>
      </c>
      <c r="B131" t="inlineStr">
        <is>
          <t>肩颈舒缓枕</t>
        </is>
      </c>
      <c r="C131" t="inlineStr">
        <is>
          <t>肩颈舒缓枕1.jpg,肩颈舒缓枕2.jpg</t>
        </is>
      </c>
      <c r="D131">
        <v>89</v>
      </c>
      <c r="E131" s="2" t="str">
        <f>=HYPERLINK("https://haohuo.jinritemai.com/ecommerce/trade/detail/index.html?id=3784716926517904554&amp;origin_type=604", "海智")</f>
        <v>海智</v>
      </c>
      <c r="F131" t="inlineStr">
        <is>
          <t>https://haohuo.jinritemai.com/ecommerce/trade/detail/index.html?id=3784716926517904554&amp;origin_type=604</t>
        </is>
      </c>
      <c r="G131" s="2"/>
      <c r="H131"/>
      <c r="I131"/>
      <c r="J131" t="inlineStr">
        <is>
          <t>⚫已下架</t>
        </is>
      </c>
      <c r="K131" t="inlineStr">
        <is>
          <t>聚氨酯PU</t>
        </is>
      </c>
      <c r="L131" t="inlineStr">
        <is>
          <t>米白色</t>
        </is>
      </c>
      <c r="M131"/>
      <c r="N131" t="inlineStr">
        <is>
          <t>190*170*120mm</t>
        </is>
      </c>
      <c r="O131" t="inlineStr">
        <is>
          <t>306g</t>
        </is>
      </c>
      <c r="P131"/>
      <c r="Q131"/>
      <c r="R131" t="inlineStr">
        <is>
          <t>W型双肩平衡支撑+7个指压按摩凸点 有效抬高肩膀深度放松肩部肌肉
3D曲线贴合颈部 三向牵拉颈椎 实现颈部前后曲线拉伸和向上拉伸
V型颈部支撑+3条线型按摩纹理 环抱式支撑颈部，不跑偏如手指按压，深度疏通经络
双向力度拉伸自由掌控 由弱到强放松颈椎循序渐进</t>
        </is>
      </c>
      <c r="S131" t="inlineStr">
        <is>
          <t>采用 W 型双肩平衡支撑设计，搭配 7 个指压凸点，有效抬高肩膀，深度放松肩颈肌肉。V 型颈部环抱结构配合 3 条线型纹理，如手指般按压疏通经络，三向牵拉颈椎，实现前后及向上的深度拉伸。双向力度设计支持自由掌控，由弱到强循序渐进，让您在家即可享受专业级的颈椎深度养护与放松</t>
        </is>
      </c>
      <c r="T131" t="inlineStr">
        <is>
          <t>拉伸为了放松肌肉,拉动小关节,减轻颈椎不适的症状。
时间太长会引起过度的疲惫，易造成肌肉和韧带静力性损伤。严重的会导致颈椎骨出现酸痛和胀痛，还有可能会引起副作用，所以适当使用即可，每次不要超过10分钟。更不能整晚使用哦~~</t>
        </is>
      </c>
      <c r="U131" t="inlineStr">
        <is>
          <t>image.png,爆款颈椎枕1.jpg</t>
        </is>
      </c>
      <c r="V131"/>
      <c r="W131"/>
      <c r="X131"/>
      <c r="Y131" t="inlineStr">
        <is>
          <t>肩颈舒缓枕广东发货</t>
        </is>
      </c>
      <c r="Z131"/>
      <c r="AA131"/>
    </row>
    <row r="132" ht="25.5" customHeight="1">
      <c r="A132">
        <v>226</v>
      </c>
      <c r="B132" t="inlineStr">
        <is>
          <t>爆款颈椎枕</t>
        </is>
      </c>
      <c r="C132" t="inlineStr">
        <is>
          <t>爆款颈椎枕1.jpg,爆款颈椎枕2.jpg</t>
        </is>
      </c>
      <c r="D132">
        <v>59.9</v>
      </c>
      <c r="E132" s="2" t="str">
        <f>=HYPERLINK("https://haohuo.jinritemai.com/ecommerce/trade/detail/index.html?id=3820026797551124739&amp;origin_type=604", "速力达")</f>
        <v>速力达</v>
      </c>
      <c r="F132" t="inlineStr">
        <is>
          <t>https://haohuo.jinritemai.com/ecommerce/trade/detail/index.html?id=3820026797551124739&amp;origin_type=604</t>
        </is>
      </c>
      <c r="G132" s="2"/>
      <c r="H132"/>
      <c r="I132"/>
      <c r="J132" t="inlineStr">
        <is>
          <t>🟢已上架</t>
        </is>
      </c>
      <c r="K132" t="inlineStr">
        <is>
          <t>聚氨酯PU</t>
        </is>
      </c>
      <c r="L132" t="inlineStr">
        <is>
          <t>米白色</t>
        </is>
      </c>
      <c r="M132"/>
      <c r="N132" t="inlineStr">
        <is>
          <t>200*160*115mm</t>
        </is>
      </c>
      <c r="O132" t="inlineStr">
        <is>
          <t>0.31kg</t>
        </is>
      </c>
      <c r="P132"/>
      <c r="Q132"/>
      <c r="R132" t="inlineStr">
        <is>
          <t>W型双肩平衡支撑+7个指压按摩凸点 有效抬高肩膀深度放松肩部肌肉
3D曲线贴合颈部 三向牵拉颈椎 实现颈部前后曲线拉伸和向上拉伸
V型颈部支撑+3条线型按摩纹理 环抱式支撑颈部，不跑偏如手指按压，深度疏通经络
双向力度拉伸自由掌控 由弱到强放松颈椎循序渐进</t>
        </is>
      </c>
      <c r="S132" t="inlineStr">
        <is>
          <t>采用 W 型双肩平衡支撑设计，搭配 7 个指压凸点，有效抬高肩膀，深度放松肩颈肌肉。V 型颈部环抱结构配合 3 条线型纹理，如手指般按压疏通经络，三向牵拉颈椎，实现前后及向上的深度拉伸。双向力度设计支持自由掌控，由弱到强循序渐进，让您在家即可享受专业级的颈椎深度养护与放松</t>
        </is>
      </c>
      <c r="T132" t="inlineStr">
        <is>
          <t>拉伸为了放松肌肉,拉动小关节,减轻颈椎不适的症状。
时间太长会引起过度的疲惫，易造成肌肉和韧带静力性损伤。严重的会导致颈椎骨出现酸痛和胀痛，还有可能会引起副作用，所以适当使用即可，每次不要超过10分钟。更不能整晚使用哦~~</t>
        </is>
      </c>
      <c r="U132" t="inlineStr">
        <is>
          <t>image.png,爆款颈椎枕1.jpg</t>
        </is>
      </c>
      <c r="V132"/>
      <c r="W132"/>
      <c r="X132"/>
      <c r="Y132" t="inlineStr">
        <is>
          <t>普拉提圈方形.59指压板26轮知文</t>
        </is>
      </c>
      <c r="Z132"/>
      <c r="AA132"/>
    </row>
    <row r="133" ht="25.5" customHeight="1">
      <c r="A133">
        <v>261</v>
      </c>
      <c r="B133" t="inlineStr">
        <is>
          <t>颈椎按摩枕</t>
        </is>
      </c>
      <c r="C133" t="inlineStr">
        <is>
          <t>颈椎按摩枕1.jpg,颈椎按摩枕2.jpg</t>
        </is>
      </c>
      <c r="D133">
        <v>29.9</v>
      </c>
      <c r="E133" s="2" t="str">
        <f>=HYPERLINK("https://haohuo.jinritemai.com/ecommerce/trade/detail/index.html?id=3768590071712842108&amp;origin_type=604", "速力达")</f>
        <v>速力达</v>
      </c>
      <c r="F133" t="inlineStr">
        <is>
          <t>https://haohuo.jinritemai.com/ecommerce/trade/detail/index.html?id=3768590071712842108&amp;origin_type=604</t>
        </is>
      </c>
      <c r="G133" s="2"/>
      <c r="H133"/>
      <c r="I133"/>
      <c r="J133" t="inlineStr">
        <is>
          <t>🟢已上架</t>
        </is>
      </c>
      <c r="K133" t="inlineStr">
        <is>
          <t>EVA</t>
        </is>
      </c>
      <c r="L133" t="inlineStr">
        <is>
          <t>紫色, 绿色, 蓝色</t>
        </is>
      </c>
      <c r="M133"/>
      <c r="N133" t="inlineStr">
        <is>
          <t>狼牙：46*12cm
吸盘：59*12cm</t>
        </is>
      </c>
      <c r="O133"/>
      <c r="P133"/>
      <c r="Q133"/>
      <c r="R133" t="inlineStr">
        <is>
          <t>1.深度缓解颈椎酸痛 仿真人揉捏按摩
2.舒缓放松 圆头点穴 指压按摩
3.躺下即可放松颈椎 有效提升睡眠质量
4.环保无味EVA 安全健康 品质保证</t>
        </is>
      </c>
      <c r="S133" t="inlineStr">
        <is>
          <t>这款颈椎牵引枕主要是用来支撑颈椎自然生理曲度，缓解颈部肌肉疲劳和酸痛的~
它通过凸起穴位指压球按摩颈部肌肉，能有效放松紧张的肌肉，改善轻微的颈椎不适。
平时办公、学习、旅行时用来放松颈部都很不错呢！</t>
        </is>
      </c>
      <c r="T133"/>
      <c r="U133"/>
      <c r="V133"/>
      <c r="W133"/>
      <c r="X133" t="inlineStr">
        <is>
          <t>颈椎按摩枕.xlsx</t>
        </is>
      </c>
      <c r="Y133" t="inlineStr">
        <is>
          <t>普拉提圈方形.59指压板26轮知文</t>
        </is>
      </c>
      <c r="Z133"/>
      <c r="AA133"/>
    </row>
    <row r="134" ht="25.5" customHeight="1">
      <c r="A134">
        <v>262</v>
      </c>
      <c r="B134" t="inlineStr">
        <is>
          <t>重力眼罩</t>
        </is>
      </c>
      <c r="C134" t="inlineStr">
        <is>
          <t>重力眼罩1.jpg</t>
        </is>
      </c>
      <c r="D134">
        <v>49.9</v>
      </c>
      <c r="E134" s="2" t="str">
        <f>=HYPERLINK("https://haohuo.jinritemai.com/ecommerce/trade/detail/index.html?id=3797169945905856648&amp;origin_type=604", "速力达")</f>
        <v>速力达</v>
      </c>
      <c r="F134" t="inlineStr">
        <is>
          <t>https://haohuo.jinritemai.com/ecommerce/trade/detail/index.html?id=3797169945905856648&amp;origin_type=604</t>
        </is>
      </c>
      <c r="G134" s="2" t="str">
        <f>=HYPERLINK("https://haohuo.jinritemai.com/ecommerce/trade/detail/index.html?id=3802544809730769143&amp;origin_type=604", "速力达")</f>
        <v>速力达</v>
      </c>
      <c r="H134" t="inlineStr">
        <is>
          <t>https://haohuo.jinritemai.com/ecommerce/trade/detail/index.html?id=3802544809730769143&amp;origin_type=604</t>
        </is>
      </c>
      <c r="I134"/>
      <c r="J134" t="inlineStr">
        <is>
          <t>🟢已上架</t>
        </is>
      </c>
      <c r="K134" t="inlineStr">
        <is>
          <t>锦纶76%, 氨纶24%, 聚酯纤维92.7%, 氨纶7.3%, 聚酯纤维100%, 玻璃珠</t>
        </is>
      </c>
      <c r="L134" t="inlineStr">
        <is>
          <t>藏青色, 粉色, 浅灰色</t>
        </is>
      </c>
      <c r="M134"/>
      <c r="N134" t="inlineStr">
        <is>
          <t>72cm*13cm</t>
        </is>
      </c>
      <c r="O134"/>
      <c r="P134"/>
      <c r="Q134"/>
      <c r="R134"/>
      <c r="S134"/>
      <c r="T134"/>
      <c r="U134" t="inlineStr">
        <is>
          <t>image.png,image.png</t>
        </is>
      </c>
      <c r="V134"/>
      <c r="W134"/>
      <c r="X134"/>
      <c r="Y134" t="inlineStr">
        <is>
          <t>集采22群桂枫颈椎矫正带-孙老师代发</t>
        </is>
      </c>
      <c r="Z134"/>
      <c r="AA134"/>
    </row>
    <row r="135" ht="25.5" customHeight="1">
      <c r="A135">
        <v>365</v>
      </c>
      <c r="B135" t="inlineStr">
        <is>
          <t>按摩拖鞋</t>
        </is>
      </c>
      <c r="C135" t="inlineStr">
        <is>
          <t>按摩拖鞋1.jpg,按摩拖鞋2.jpg</t>
        </is>
      </c>
      <c r="D135">
        <v>19.9</v>
      </c>
      <c r="E135" s="2" t="str">
        <f>=HYPERLINK("https://haohuo.jinritemai.com/ecommerce/trade/detail/index.html?id=3756733217441448395&amp;origin_type=604", "速力达")</f>
        <v>速力达</v>
      </c>
      <c r="F135" t="inlineStr">
        <is>
          <t>https://haohuo.jinritemai.com/ecommerce/trade/detail/index.html?id=3756733217441448395&amp;origin_type=604</t>
        </is>
      </c>
      <c r="G135" s="2"/>
      <c r="H135"/>
      <c r="I135"/>
      <c r="J135" t="inlineStr">
        <is>
          <t>🟢已上架</t>
        </is>
      </c>
      <c r="K135" t="inlineStr">
        <is>
          <t>PVC</t>
        </is>
      </c>
      <c r="L135" t="inlineStr">
        <is>
          <t>粉色, 紫色</t>
        </is>
      </c>
      <c r="M135"/>
      <c r="N135" t="inlineStr">
        <is>
          <t>均码：36-44</t>
        </is>
      </c>
      <c r="O135"/>
      <c r="P135"/>
      <c r="Q135"/>
      <c r="R135" t="inlineStr">
        <is>
          <t>1.不易臭脚 防滑耐磨 一体成型
2.按摩颗粒不硌脚 全方位轻触按摩 缓解双脚疲劳
3.PVC防滑耐磨，波浪底纹增强摩擦力</t>
        </is>
      </c>
      <c r="S135" t="inlineStr">
        <is>
          <t>结实耐穿且不易臭脚，时刻保持足部清爽。独特的按摩颗粒设计，全方位轻触按摩，有效缓解双脚疲劳。底部选用PVC 防滑耐磨材质，抓地稳固。居家必备，让每一步都走得健康又安心</t>
        </is>
      </c>
      <c r="T135"/>
      <c r="U135" t="inlineStr">
        <is>
          <t>按摩拖鞋1.jpg</t>
        </is>
      </c>
      <c r="V135"/>
      <c r="W135"/>
      <c r="X135"/>
      <c r="Y135" t="inlineStr">
        <is>
          <t>9818好物家居群</t>
        </is>
      </c>
      <c r="Z135"/>
      <c r="AA135"/>
    </row>
    <row r="136" ht="25.5" customHeight="1">
      <c r="A136">
        <v>457</v>
      </c>
      <c r="B136" t="inlineStr">
        <is>
          <t>冷榨紫苏籽油</t>
        </is>
      </c>
      <c r="C136" t="inlineStr">
        <is>
          <t>冷榨紫苏籽油1.png</t>
        </is>
      </c>
      <c r="D136">
        <v>79</v>
      </c>
      <c r="E136" s="2" t="str">
        <f>=HYPERLINK("https://haohuo.jinritemai.com/ecommerce/trade/detail/index.html?id=3767823518666981835&amp;origin_type=604", "速力达")</f>
        <v>速力达</v>
      </c>
      <c r="F136" t="inlineStr">
        <is>
          <t>https://haohuo.jinritemai.com/ecommerce/trade/detail/index.html?id=3767823518666981835&amp;origin_type=604</t>
        </is>
      </c>
      <c r="G136" s="2"/>
      <c r="H136"/>
      <c r="I136"/>
      <c r="J136" t="inlineStr">
        <is>
          <t>🟢已上架</t>
        </is>
      </c>
      <c r="K136" t="inlineStr">
        <is>
          <t>紫苏籽</t>
        </is>
      </c>
      <c r="L136" t="inlineStr">
        <is>
          <t>瓶</t>
        </is>
      </c>
      <c r="M136"/>
      <c r="N136" t="inlineStr">
        <is>
          <t>500ml/瓶
18个月</t>
        </is>
      </c>
      <c r="O136"/>
      <c r="P136"/>
      <c r="Q136" t="inlineStr">
        <is>
          <t>产地：江西吉安</t>
        </is>
      </c>
      <c r="R136"/>
      <c r="S136"/>
      <c r="T136"/>
      <c r="U136"/>
      <c r="V136"/>
      <c r="W136"/>
      <c r="X136"/>
      <c r="Y136" t="inlineStr">
        <is>
          <t>紫苏籽油</t>
        </is>
      </c>
      <c r="Z136"/>
      <c r="AA136"/>
    </row>
    <row r="137" ht="25.5" customHeight="1">
      <c r="A137">
        <v>458</v>
      </c>
      <c r="B137" t="inlineStr">
        <is>
          <t>烟酰胺甘油精华液</t>
        </is>
      </c>
      <c r="C137" t="inlineStr">
        <is>
          <t>烟酰胺甘油精华液1.jpg</t>
        </is>
      </c>
      <c r="D137">
        <v>19.9</v>
      </c>
      <c r="E137" s="2" t="str">
        <f>=HYPERLINK("https://haohuo.jinritemai.com/ecommerce/trade/detail/index.html?id=3781783405822345587&amp;origin_type=604", "速力达")</f>
        <v>速力达</v>
      </c>
      <c r="F137" t="inlineStr">
        <is>
          <t>https://haohuo.jinritemai.com/ecommerce/trade/detail/index.html?id=3781783405822345587&amp;origin_type=604</t>
        </is>
      </c>
      <c r="G137" s="2"/>
      <c r="H137"/>
      <c r="I137"/>
      <c r="J137" t="inlineStr">
        <is>
          <t>🟢已上架</t>
        </is>
      </c>
      <c r="K137"/>
      <c r="L137" t="inlineStr">
        <is>
          <t>120ml/瓶</t>
        </is>
      </c>
      <c r="M137"/>
      <c r="N137" t="inlineStr">
        <is>
          <t>120ml</t>
        </is>
      </c>
      <c r="O137"/>
      <c r="P137"/>
      <c r="Q137"/>
      <c r="R137" t="inlineStr">
        <is>
          <t>1：双核心成分，多维护肤
复配烟酰胺 + 马来西亚甘油黄金组合
2：多重功效，解决多种肌肤问题
3：温和亲肤，适用范围广</t>
        </is>
      </c>
      <c r="S137" t="inlineStr">
        <is>
          <t>这款宝薇泉烟酰胺马来西亚甘油精华液，搭配甘油与烟酰胺护肤成分，质地清透水润，上手清爽不黏腻。
透明凝露质地很好推开，上肤易吸收，日常可用于面部、身体肌肤护理。多种温和护肤原料搭配，能舒缓干燥粗糙的肌肤状态，补充肌肤表层水润感，让肌肤触感柔润有光泽。</t>
        </is>
      </c>
      <c r="T137" t="inlineStr">
        <is>
          <t>面部使用
1. 基础护肤步骤：洁面后，在爽肤水吸收完毕、肌肤处于微湿状态时使用，取适量精华液于手心，双手揉搓温热后，均匀涂抹在面部和颈部。
2. 按摩促吸收：从下巴向额头、从脸颊向鼻梁轻轻打圈按摩，重点涂抹干燥起皮的部位，直至精华液完全吸收，后续可叠加乳液/面霜，锁住水分，强化保湿效果。
3. 局部修护：针对面部干纹、粗糙部位（如眼角、法令纹处），可适当增加用量，轻轻点涂按摩，改善局部干燥细纹问题。
身体使用
1. 日常全身保湿：洗澡后，趁身体肌肤还未完全干透时（毛孔张开状态），取适量精华液涂抹在全身，尤其是手肘、膝盖、脚后跟等易干燥粗糙部位，轻轻按摩至吸收，可有效防止秋冬身体皮肤干燥紧绷、起皮。
2. 局部嫩肤修护：针对身体肤色暗沉、粗糙区域（如颈部、手肘、小腿），可每日单独涂抹并按摩
可搭配身体乳、护手霜等产品使用，在涂抹身体乳/护手霜前先薄涂一层该精华液，打底补水，提升后续护肤品的保湿效果，让肌肤水润感更持久。</t>
        </is>
      </c>
      <c r="U137"/>
      <c r="V137"/>
      <c r="W137" t="inlineStr">
        <is>
          <t>宝薇泉烟酰胺马来西亚甘油精华液-质检报告.png</t>
        </is>
      </c>
      <c r="X137"/>
      <c r="Y137" t="inlineStr">
        <is>
          <t>海智动养9818-片仔癀面霜-丹</t>
        </is>
      </c>
      <c r="Z137"/>
      <c r="AA137"/>
    </row>
    <row r="138" ht="25.5" customHeight="1">
      <c r="A138">
        <v>459</v>
      </c>
      <c r="B138" t="inlineStr">
        <is>
          <t>硅胶拍痧板</t>
        </is>
      </c>
      <c r="C138" t="inlineStr">
        <is>
          <t>硅胶拍痧板1.jpg,硅胶拍痧板2.jpg</t>
        </is>
      </c>
      <c r="D138">
        <v>49.9</v>
      </c>
      <c r="E138" s="2" t="str">
        <f>=HYPERLINK("https://haohuo.jinritemai.com/ecommerce/trade/detail/index.html?id=3815726968268259948&amp;origin_type=604", "速力达")</f>
        <v>速力达</v>
      </c>
      <c r="F138" t="inlineStr">
        <is>
          <t>https://haohuo.jinritemai.com/ecommerce/trade/detail/index.html?id=3815726968268259948&amp;origin_type=604</t>
        </is>
      </c>
      <c r="G138" s="2" t="str">
        <f>=HYPERLINK("https://haohuo.jinritemai.com/ecommerce/trade/detail/index.html?id=3815726921166225688&amp;origin_type=604", "速力达")</f>
        <v>速力达</v>
      </c>
      <c r="H138" t="inlineStr">
        <is>
          <t>https://haohuo.jinritemai.com/ecommerce/trade/detail/index.html?id=3815726921166225688&amp;origin_type=604</t>
        </is>
      </c>
      <c r="I138" t="inlineStr">
        <is>
          <t>XHS-栖朵朵, KS-元气工厂, SPH-锦川优品, DY-海智动养优品, DY-速力达优品</t>
        </is>
      </c>
      <c r="J138" t="inlineStr">
        <is>
          <t>🟢已上架</t>
        </is>
      </c>
      <c r="K138" t="inlineStr">
        <is>
          <t>硅胶</t>
        </is>
      </c>
      <c r="L138" t="inlineStr">
        <is>
          <t>紫色, 蓝色</t>
        </is>
      </c>
      <c r="M138"/>
      <c r="N138" t="inlineStr">
        <is>
          <t>40cm</t>
        </is>
      </c>
      <c r="O138" t="inlineStr">
        <is>
          <t>0.29kg</t>
        </is>
      </c>
      <c r="P138"/>
      <c r="Q138"/>
      <c r="R138" t="inlineStr">
        <is>
          <t>多功能新升级四合一硅胶拍痧板拍打锤，食品级硅胶材质，用的放心，无异味，安全放心
拍打面大，覆盖面积广，79个细小颗粒按摩点，拍打起来受力均匀，拍打面均衡受力，和传统的拍打锤对比，重量大，硅胶材质发力强，按摩拍打效果好
空心➕实心结合
背面空心猫爪图案，大小孔错开分布，颜值高，出痧快，拍打出痧效果好
手柄加长，其他的拍痧板长度30cm左右，出头，我们的长度40cm有利于后背深度拍打，手柄做了防滑颗粒设计，不怕夏天出汗
手柄里面特质铁片材质，可耐多次深度来回弯曲使用，同比其他产品，中间用塑料材质，多折叠容易断裂，我们质保一年
手柄底部做了突起设计，可以磁铁石按摩，也可以可以小面积拍打，更加精准按摩，点对点的拍打效果好
配送收纳袋，可多年多次重复使用</t>
        </is>
      </c>
      <c r="S138" t="inlineStr">
        <is>
          <t>四合一硅胶拍痧板！食品级软硅胶无异味，79 凸点 + 双面设计，拍痧按摩一步到位；48cm 加长手柄，后背腰腿轻松拍。空心省力、出痧快、耐用不伤肤，居家养生、放松肌肉超实用</t>
        </is>
      </c>
      <c r="T138" t="inlineStr">
        <is>
          <t>手握加长手柄，凸点面用于肩颈腰背拍痧，平滑面用于四肢按摩；顺着经络轻拍 5–10 分钟，力度适中，放松即止</t>
        </is>
      </c>
      <c r="U138"/>
      <c r="V138"/>
      <c r="W138"/>
      <c r="X138" t="inlineStr">
        <is>
          <t>硅胶拍痧板.xlsx</t>
        </is>
      </c>
      <c r="Y138" t="inlineStr">
        <is>
          <t>普拉提圈方形.59指压板26轮知文</t>
        </is>
      </c>
      <c r="Z138"/>
      <c r="AA138"/>
    </row>
    <row r="139" ht="25.5" customHeight="1">
      <c r="A139">
        <v>460</v>
      </c>
      <c r="B139" t="inlineStr">
        <is>
          <t>新款指压板拖鞋</t>
        </is>
      </c>
      <c r="C139" t="inlineStr">
        <is>
          <t>粉1.jpg,e7c5fa8a637b97b367712757a9ae97c4.jpg</t>
        </is>
      </c>
      <c r="D139">
        <v>59.9</v>
      </c>
      <c r="E139" s="2" t="str">
        <f>=HYPERLINK("https://haohuo.jinritemai.com/ecommerce/trade/detail/index.html?id=3818864169323724944&amp;origin_type=604", "速力达")</f>
        <v>速力达</v>
      </c>
      <c r="F139" t="inlineStr">
        <is>
          <t>https://haohuo.jinritemai.com/ecommerce/trade/detail/index.html?id=3818864169323724944&amp;origin_type=604</t>
        </is>
      </c>
      <c r="G139" s="2" t="str">
        <f>=HYPERLINK("https://haohuo.jinritemai.com/ecommerce/trade/detail/index.html?id=3818885873722851406&amp;origin_type=604", "速力达")</f>
        <v>速力达</v>
      </c>
      <c r="H139" t="inlineStr">
        <is>
          <t>https://haohuo.jinritemai.com/ecommerce/trade/detail/index.html?id=3818885873722851406&amp;origin_type=604</t>
        </is>
      </c>
      <c r="I139"/>
      <c r="J139" t="inlineStr">
        <is>
          <t>🟢已上架</t>
        </is>
      </c>
      <c r="K139" t="inlineStr">
        <is>
          <t>EVA泡棉, TPE软胶</t>
        </is>
      </c>
      <c r="L139" t="inlineStr">
        <is>
          <t>粉色, 黑色, 绿色</t>
        </is>
      </c>
      <c r="M139"/>
      <c r="N139" t="inlineStr">
        <is>
          <t>尺码（长*宽*高）
36-37：26*11*10
38-39：27.5*11.5*11
40-41：29*12*11
42-43：30*12.5*11</t>
        </is>
      </c>
      <c r="O139" t="inlineStr">
        <is>
          <t>对应重量
36-37是0.41kg; 
38-39 是0.45kg;
40-41是0.48KG;
42-43是0.52KG;</t>
        </is>
      </c>
      <c r="P139"/>
      <c r="Q139" t="inlineStr">
        <is>
          <t>指压板大礼包</t>
        </is>
      </c>
      <c r="R139" t="inlineStr">
        <is>
          <t>核心优势聚焦四大维度：
1：在穴位刺激与足底呵护间找到平衡，不硌脚、不刺痛，敏感肌也能舒适使用
2：是精准穴位按摩，复刻足底弧度的凸点搭配磁石，日常踩踏即可辅助疏通经络，赶走一天疲惫
3：环保安全材质，液感软胶 无异味零重金属，使用更安心
4：人体工学防滑设计，一体成型贴合脚掌曲线，湿滑地面也能保持稳定，超慢跑、居家、办公场景通用，且防水耐磨易清洁，适合长期使用</t>
        </is>
      </c>
      <c r="S139" t="inlineStr">
        <is>
          <t>这款专用指压板按摩拖鞋，以人体工学为核心设计，专为日常放松与轻运动打造。鞋内采用硬度环保液感软胶鞋垫，实现 “刺激穴位” 与 “呵护足底” 的黄金平衡，施压不隔痛，光脚踩也舒适。鞋垫凸点复刻足底自然弧度，搭配磁石精准对应穴位，辅助疏通经络，缓解久坐久站带来的足部疲惫。一体成型的鞋身贴合脚掌曲线，防滑耐磨，适配居家、办公、超慢跑等多场景无 重金属的环保材质，让运动与放松更安心。</t>
        </is>
      </c>
      <c r="T139" t="inlineStr">
        <is>
          <t>日常放松可光脚或穿薄袜穿着，在家中、办公室慢走，每次 10-15 分钟，通过自身重量按摩足底，缓解酸胀；轻运动时，可直接穿着进行慢走、慢跑，边运动边刺激穴位，兼顾运动与放松；若需局部强化按摩，双脚通过移动重心，针对性按压足底酸痛部位，每次 5-10 分钟即可。清洁时，直接用清水冲洗拖鞋，擦干后置于通风处晾干，避免阳光暴晒，可有效延长使用寿命</t>
        </is>
      </c>
      <c r="U139" t="inlineStr">
        <is>
          <t>新款拖鞋跟练视频.mp4</t>
        </is>
      </c>
      <c r="V139" t="inlineStr">
        <is>
          <t>8b10cd1edc9a7390c906ed17cd8c8ba2.jpg</t>
        </is>
      </c>
      <c r="W139" t="inlineStr">
        <is>
          <t>CCL260605007C_晓望 GB6675.4(1).pdf</t>
        </is>
      </c>
      <c r="X139" t="inlineStr">
        <is>
          <t>超慢跑专用指压板按摩拖鞋（新款）.xlsx</t>
        </is>
      </c>
      <c r="Y139" t="inlineStr">
        <is>
          <t>普拉提圈方形.59指压板26轮知文</t>
        </is>
      </c>
      <c r="Z139"/>
      <c r="AA139"/>
    </row>
    <row r="140" ht="25.5" customHeight="1">
      <c r="A140">
        <v>461</v>
      </c>
      <c r="B140" t="inlineStr">
        <is>
          <t>草本眼枕</t>
        </is>
      </c>
      <c r="C140" t="inlineStr">
        <is>
          <t>主图.jpg</t>
        </is>
      </c>
      <c r="D140">
        <v>49.9</v>
      </c>
      <c r="E140" s="2" t="str">
        <f>=HYPERLINK("https://haohuo.jinritemai.com/ecommerce/trade/detail/index.html?id=3775859192242503819&amp;origin_type=604", "海智")</f>
        <v>海智</v>
      </c>
      <c r="F140" t="inlineStr">
        <is>
          <t>https://haohuo.jinritemai.com/ecommerce/trade/detail/index.html?id=3775859192242503819&amp;origin_type=604</t>
        </is>
      </c>
      <c r="G140" s="2"/>
      <c r="H140"/>
      <c r="I140" t="inlineStr">
        <is>
          <t>SPH-锦川优品, XHS-坦彦商贸, XHS-郑圆圆, KS-元气工厂</t>
        </is>
      </c>
      <c r="J140" t="inlineStr">
        <is>
          <t>🟢已上架</t>
        </is>
      </c>
      <c r="K140"/>
      <c r="L140" t="inlineStr">
        <is>
          <t>1个/盒</t>
        </is>
      </c>
      <c r="M140"/>
      <c r="N140" t="inlineStr">
        <is>
          <t>21.5*9.5cm</t>
        </is>
      </c>
      <c r="O140"/>
      <c r="P140"/>
      <c r="Q140"/>
      <c r="R140" t="inlineStr">
        <is>
          <t>1.采用棉麻织造工艺，质地松软透气，能轻柔贴合覆盖双眼，透气性佳，佩戴不会闷汗，体感自然舒适。
2.内置草本内胆，可周期更新，建议 30 天更换一次内胆，能持续保留草本舒缓功效；内胆可晾晒防潮，延长使用周期。
3.枕套支持拆卸清洗，长期使用也能保持洁净；附赠专属收纳袋，出差、旅行、通勤都能随身收纳携带。
4.长条尺寸适配眼周轮廓，能完整覆盖眼部，不管是午休、夜间入睡还是旅途小憩都适用。</t>
        </is>
      </c>
      <c r="S140" t="inlineStr">
        <is>
          <t>这款是棉麻草本护眼枕，采用棉麻面料搭配可更换草本内胆设计，尺寸 21.5*9.5CM，单盒 1 个，配套可拆卸枕套与同款收纳袋，主打眼部舒缓护理，居家、出行都能使用。</t>
        </is>
      </c>
      <c r="T140" t="inlineStr">
        <is>
          <t>常规养护：使用期间每 2-3 周把内胆拿出来晾晒一次，保持内芯干燥；</t>
        </is>
      </c>
      <c r="U140"/>
      <c r="V140"/>
      <c r="W140"/>
      <c r="X140" t="inlineStr">
        <is>
          <t>草本眼枕.xlsx</t>
        </is>
      </c>
      <c r="Y140" t="inlineStr">
        <is>
          <t>普拉提圈方形.59指压板26轮知文</t>
        </is>
      </c>
      <c r="Z140"/>
      <c r="AA140"/>
    </row>
    <row r="141" ht="25.5" customHeight="1">
      <c r="A141">
        <v>462</v>
      </c>
      <c r="B141" t="inlineStr">
        <is>
          <t>来凤藤茶</t>
        </is>
      </c>
      <c r="C141" t="inlineStr">
        <is>
          <t>image.png</t>
        </is>
      </c>
      <c r="D141">
        <v>129</v>
      </c>
      <c r="E141" s="2" t="str">
        <f>=HYPERLINK("https://store.weixin.qq.com/shop/a/WBkhy6nQDLM89om", "锦川")</f>
        <v>锦川</v>
      </c>
      <c r="F141" t="inlineStr">
        <is>
          <t>https://store.weixin.qq.com/shop/a/WBkhy6nQDLM89om</t>
        </is>
      </c>
      <c r="G141" s="2" t="str">
        <f>=HYPERLINK("https://store.weixin.qq.com/shop/a/WBkhy6nQDLM89om", "锦川")</f>
        <v>锦川</v>
      </c>
      <c r="H141" t="inlineStr">
        <is>
          <t>https://store.weixin.qq.com/shop/a/WBkhy6nQDLM89om</t>
        </is>
      </c>
      <c r="I141"/>
      <c r="J141" t="inlineStr">
        <is>
          <t>🟢已上架</t>
        </is>
      </c>
      <c r="K141" t="inlineStr">
        <is>
          <t>藤茶嫩叶</t>
        </is>
      </c>
      <c r="L141" t="inlineStr">
        <is>
          <t>50G/罐</t>
        </is>
      </c>
      <c r="M141"/>
      <c r="N141" t="inlineStr">
        <is>
          <t>24个月（发酵藤茶）</t>
        </is>
      </c>
      <c r="O141" t="inlineStr">
        <is>
          <t>3罐+品鉴装4g+手提袋*1：0.8KG
</t>
        </is>
      </c>
      <c r="P141"/>
      <c r="Q141" t="inlineStr">
        <is>
          <t>品鉴装/盒（2袋）2g/袋+手提袋</t>
        </is>
      </c>
      <c r="R141" t="inlineStr">
        <is>
          <t>
🌿 产地正宗
湖北恩施来凤核心产区，地道龙须嫩芽尖，品质溯源
🍃 原料优质
仅采顶部嫩芽尖，手工精选，条索紧细、白霜丰富，黄酮含量高
🔥 营养丰富
含黄酮、二氢杨梅素、硒、17 种氨基酸及铁锌等微量元素
👅 口感绝佳
入口清甜，持久回甘，汤色金黄透亮，老少皆宜
⚙️ 工艺严谨
多道工序深度烘焙，含水率低，干度足，耐泡耐存
📦 包装贴心
50g / 罐独立密封包装，防潮防压，易保存，送礼自用两相宜
☕ 冲泡便捷
95℃以上开水冲泡，无需洗茶，静置 5 分钟即可，可反复冲泡 2-3 次</t>
        </is>
      </c>
      <c r="S141" t="inlineStr">
        <is>
          <t>亲亲，咱们这款是正宗恩施来凤藤茶哦！精选龙须嫩芽尖，白霜丰富、黄酮含量高，富含硒元素和多种氨基酸，入口清甜回甘，老少皆宜。50g 独立罐装防潮易存，日常养生喝很合适～</t>
        </is>
      </c>
      <c r="T141" t="inlineStr">
        <is>
          <t>亲亲，这款藤茶的冲泡方法很简单哦：
将适量藤茶倒入杯中；
1、用 95℃以上的开水冲泡；
2、静置 5 分钟即可饮用，可依据个人口味反复冲泡。
小贴士：无需洗茶，用保温杯冲泡效果更好～</t>
        </is>
      </c>
      <c r="U141" t="inlineStr">
        <is>
          <t>d3ff8574bca1e11c26fc172f0469b89c.png,冲泡事项.jpg,赠品装.png</t>
        </is>
      </c>
      <c r="V141"/>
      <c r="W141" t="inlineStr">
        <is>
          <t>食品生产许可证.jpg,地标非遗资质 (1).png,地标非遗资质 (3).png,地标非遗资质 (2).png,小藤匠来凤藤茶.pdf</t>
        </is>
      </c>
      <c r="X141" t="inlineStr">
        <is>
          <t>来凤藤茶.xlsx</t>
        </is>
      </c>
      <c r="Y141" t="inlineStr">
        <is>
          <t>锦丞———小藤匠来凤藤茶</t>
        </is>
      </c>
      <c r="Z141"/>
      <c r="AA141"/>
    </row>
    <row r="142" ht="25.5" customHeight="1">
      <c r="A142">
        <v>463</v>
      </c>
      <c r="B142" t="inlineStr">
        <is>
          <t>八字拉力器健身拉伸带</t>
        </is>
      </c>
      <c r="C142" t="inlineStr">
        <is>
          <t>20260516-130630.jpg,20260516-130633.jpg</t>
        </is>
      </c>
      <c r="D142">
        <v>15.8</v>
      </c>
      <c r="E142" s="2" t="str">
        <f>=HYPERLINK("https://haohuo.jinritemai.com/ecommerce/trade/detail/index.html?id=3820177404782051348&amp;origin_type=604", "速力达")</f>
        <v>速力达</v>
      </c>
      <c r="F142" t="inlineStr">
        <is>
          <t>https://haohuo.jinritemai.com/ecommerce/trade/detail/index.html?id=3820177404782051348&amp;origin_type=604</t>
        </is>
      </c>
      <c r="G142" s="2" t="str">
        <f>=HYPERLINK("https://haohuo.jinritemai.com/ecommerce/trade/detail/index.html?id=3820175390484332839&amp;origin_type=604", "速力达")</f>
        <v>速力达</v>
      </c>
      <c r="H142" t="inlineStr">
        <is>
          <t>https://haohuo.jinritemai.com/ecommerce/trade/detail/index.html?id=3820175390484332839&amp;origin_type=604</t>
        </is>
      </c>
      <c r="I142"/>
      <c r="J142" t="inlineStr">
        <is>
          <t>🟢已上架</t>
        </is>
      </c>
      <c r="K142" t="inlineStr">
        <is>
          <t>TPE软胶</t>
        </is>
      </c>
      <c r="L142" t="inlineStr">
        <is>
          <t>蓝色, 粉色, 紫色</t>
        </is>
      </c>
      <c r="M142" t="inlineStr">
        <is>
          <t xml:space="preserve">B-74 </t>
        </is>
      </c>
      <c r="N142" t="inlineStr">
        <is>
          <t>长51cm 宽11cm
15磅拉力</t>
        </is>
      </c>
      <c r="O142" t="inlineStr">
        <is>
          <t>107.2g</t>
        </is>
      </c>
      <c r="P142"/>
      <c r="Q142"/>
      <c r="R142" t="inlineStr">
        <is>
          <t>1、采用高弹 TPE 环保材质，无异味亲肤安全；一体成型加粗弹力带，接口不脱落、久拉不变形，强力拉伸不易断裂。
2、防滑硅胶纹理手柄，出汗不滑手；拉力均匀回弹稳定，新手也能轻松上手，男女老少通用。
3、可开肩美背、瘦手臂、瘦腰提臀、拉伸放松，一根练遍全身；每天 15 分钟改善含胸驼背，缓解久坐肩颈酸痛</t>
        </is>
      </c>
      <c r="S142" t="inlineStr">
        <is>
          <t>家用开肩美背神器！TPE 高弹材质，一体成型更耐用。每天 15 分钟，改善含胸驼背、瘦手臂塑形，居家办公旅行都能练，男女通用</t>
        </is>
      </c>
      <c r="T142" t="inlineStr">
        <is>
          <t>双手握柄，做扩胸、开肩、手臂拉伸等动作，每次 10-15 分钟，每日 1-2 组即可</t>
        </is>
      </c>
      <c r="U142"/>
      <c r="V142"/>
      <c r="W142"/>
      <c r="X142" t="inlineStr">
        <is>
          <t>八字拉力器健身拉伸带(1).xlsx</t>
        </is>
      </c>
      <c r="Y142" t="inlineStr">
        <is>
          <t>刘学生025呼啦圈轴32蹬-9818</t>
        </is>
      </c>
      <c r="Z142"/>
      <c r="AA142"/>
    </row>
    <row r="143" ht="25.5" customHeight="1">
      <c r="A143">
        <v>464</v>
      </c>
      <c r="B143" t="inlineStr">
        <is>
          <t>室内原地跑步垫</t>
        </is>
      </c>
      <c r="C143" t="inlineStr">
        <is>
          <t>主图-1.jpg,主图-5.jpg</t>
        </is>
      </c>
      <c r="D143">
        <v>49.9</v>
      </c>
      <c r="E143" s="2" t="str">
        <f>=HYPERLINK("https://store.weixin.qq.com/shop/a/dcKH8vKBxfDMEnu", "锦川")</f>
        <v>锦川</v>
      </c>
      <c r="F143" t="inlineStr">
        <is>
          <t>https://store.weixin.qq.com/shop/a/dcKH8vKBxfDMEnu</t>
        </is>
      </c>
      <c r="G143" s="2" t="str">
        <f>=HYPERLINK("https://store.weixin.qq.com/shop/a/d9ymHEYp2mJMTZF", "锦川")</f>
        <v>锦川</v>
      </c>
      <c r="H143" t="inlineStr">
        <is>
          <t>https://store.weixin.qq.com/shop/a/d9ymHEYp2mJMTZF</t>
        </is>
      </c>
      <c r="I143"/>
      <c r="J143" t="inlineStr">
        <is>
          <t>🟢已上架</t>
        </is>
      </c>
      <c r="K143" t="inlineStr">
        <is>
          <t>TPE软胶</t>
        </is>
      </c>
      <c r="L143" t="inlineStr">
        <is>
          <t>灰色, 蓝色, 粉色, 紫色</t>
        </is>
      </c>
      <c r="M143"/>
      <c r="N143" t="inlineStr">
        <is>
          <t>直径64cm  20mm厚</t>
        </is>
      </c>
      <c r="O143" t="inlineStr">
        <is>
          <t>400g</t>
        </is>
      </c>
      <c r="P143"/>
      <c r="Q143"/>
      <c r="R143" t="inlineStr">
        <is>
          <t>1、专业减震护膝：加厚高密度材质，有效吸收跑步冲击力，保护膝盖和脚踝，降低运动损伤风险
2、超强隔音静音：高密度发泡层隔绝脚步声，不扰楼下邻居，深夜运动也安心
3、防滑耐磨耐用：双面防滑纹理设计，抓地牢固不跑偏；耐磨抗撕裂，长期使用不变形
4、多场景通用：超慢跑、瑜伽、跳绳、健身操都能用，一垫多用，居家健身必备</t>
        </is>
      </c>
      <c r="S143" t="inlineStr">
        <is>
          <t>超慢跑专用减震垫！加厚高密度材质，减震护膝、隔音静音不扰民。双面防滑耐磨，超慢跑、瑜伽、跳绳通用，居家健身必备，轻松打造私人运动空间</t>
        </is>
      </c>
      <c r="T143" t="inlineStr">
        <is>
          <t>将垫子平铺在平整地面，防滑面朝下，即可进行超慢跑、瑜伽、跳绳等运动；使用后卷起收纳，节省空间</t>
        </is>
      </c>
      <c r="U143"/>
      <c r="V143"/>
      <c r="W143"/>
      <c r="X143" t="inlineStr">
        <is>
          <t>室内原地跑步垫.xlsx</t>
        </is>
      </c>
      <c r="Y143" t="inlineStr">
        <is>
          <t>刘学生025呼啦圈轴32蹬-9818</t>
        </is>
      </c>
      <c r="Z143"/>
      <c r="AA143"/>
    </row>
    <row r="144" ht="25.5" customHeight="1">
      <c r="A144">
        <v>465</v>
      </c>
      <c r="B144" t="inlineStr">
        <is>
          <t>新款紫苏籽油</t>
        </is>
      </c>
      <c r="C144" t="inlineStr">
        <is>
          <t>微信图片_2026-05-21_111441_763.jpg</t>
        </is>
      </c>
      <c r="D144">
        <v>199</v>
      </c>
      <c r="E144" s="2" t="str">
        <f>=HYPERLINK("https://store.weixin.qq.com/shop/a/GfMOjRdcHKmetzj", "锦川")</f>
        <v>锦川</v>
      </c>
      <c r="F144" t="inlineStr">
        <is>
          <t>https://store.weixin.qq.com/shop/a/GfMOjRdcHKmetzj</t>
        </is>
      </c>
      <c r="G144" s="2" t="str">
        <f>=HYPERLINK("https://store.weixin.qq.com/shop/a/ujbt3zYphfcCQEf", "锦川")</f>
        <v>锦川</v>
      </c>
      <c r="H144" t="inlineStr">
        <is>
          <t>https://store.weixin.qq.com/shop/a/ujbt3zYphfcCQEf</t>
        </is>
      </c>
      <c r="I144"/>
      <c r="J144" t="inlineStr">
        <is>
          <t>🟢已上架</t>
        </is>
      </c>
      <c r="K144" t="inlineStr">
        <is>
          <t>紫苏籽</t>
        </is>
      </c>
      <c r="L144" t="inlineStr">
        <is>
          <t>4瓶装</t>
        </is>
      </c>
      <c r="M144"/>
      <c r="N144" t="inlineStr">
        <is>
          <t>250ml/瓶
保质期：18 个月</t>
        </is>
      </c>
      <c r="O144" t="inlineStr">
        <is>
          <t>重量：约 300g（含瓶）</t>
        </is>
      </c>
      <c r="P144"/>
      <c r="Q144"/>
      <c r="R144" t="inlineStr">
        <is>
          <t>冷锁营养工艺：物理冷榨提取，保留天然营养活性，无化学残留
高含量 Omega3：富含 α- 亚麻酸，是人体必需不饱和脂肪酸，日常养生好选择
纯植物油配方：精选优质紫苏籽原料，100% 纯油无添加，无勾兑
食用方式多样：可直接饮用，也可搭配多种食物，方便日常补充</t>
        </is>
      </c>
      <c r="S144" t="inlineStr">
        <is>
          <t>精选优质紫苏籽，物理冷榨工艺，保留天然 α- 亚麻酸等营养成分。纯植物油无添加，口感清淡，可直接饮用或搭配食物，是日常养生、补充 Omega3 的便捷选择。</t>
        </is>
      </c>
      <c r="T144" t="inlineStr">
        <is>
          <t>直接饮用:每日1-2次，每次5-10ml，空腹饮用吸收更佳
搭配食用:拌酸奶、沙拉、粥饭、面条，或淋在做好的菜肴、汤品中
调味饮用:可搭配蜂蜜、柠檬汁调味，改善口感</t>
        </is>
      </c>
      <c r="U144"/>
      <c r="V144"/>
      <c r="W144" t="inlineStr">
        <is>
          <t>f3eb804de116806dcb04991562981847.jpg,d7260dbae9fb56acadbccb2aa51b20c3.jpg,4b80628b8ca0924e51713b6b46e21b34.jpg,6c7b7bf7549556bbe61b47067f050f1f.jpg,26193a624d8f9ae521c68f50e92a8857.jpg,紫苏籽油检测报告(1).pdf</t>
        </is>
      </c>
      <c r="X144" t="inlineStr">
        <is>
          <t>新款紫苏籽油.xlsx</t>
        </is>
      </c>
      <c r="Y144" t="inlineStr">
        <is>
          <t>晶苏记-紫苏籽油发货群</t>
        </is>
      </c>
      <c r="Z144"/>
      <c r="AA144"/>
    </row>
    <row r="145" ht="25.5" customHeight="1">
      <c r="A145">
        <v>466</v>
      </c>
      <c r="B145" t="inlineStr">
        <is>
          <t>艾草养护护膝</t>
        </is>
      </c>
      <c r="C145" t="inlineStr">
        <is>
          <t>1.png,1.png</t>
        </is>
      </c>
      <c r="D145">
        <v>39.9</v>
      </c>
      <c r="E145" s="2" t="str">
        <f>=HYPERLINK("https://store.weixin.qq.com/shop/a/udqCJKjnaA0PfAz", "锦川")</f>
        <v>锦川</v>
      </c>
      <c r="F145" t="inlineStr">
        <is>
          <t>https://store.weixin.qq.com/shop/a/udqCJKjnaA0PfAz</t>
        </is>
      </c>
      <c r="G145" s="2" t="str">
        <f>=HYPERLINK("https://store.weixin.qq.com/shop/a/YmO1XGjjSdR49yw", "锦川")</f>
        <v>锦川</v>
      </c>
      <c r="H145" t="inlineStr">
        <is>
          <t>https://store.weixin.qq.com/shop/a/YmO1XGjjSdR49yw</t>
        </is>
      </c>
      <c r="I145"/>
      <c r="J145" t="inlineStr">
        <is>
          <t>🟢已上架</t>
        </is>
      </c>
      <c r="K145" t="inlineStr">
        <is>
          <t>氨纶, 乳胶丝, 尼龙</t>
        </is>
      </c>
      <c r="L145" t="inlineStr">
        <is>
          <t>肤色, 黑色, 灰色</t>
        </is>
      </c>
      <c r="M145" t="inlineStr">
        <is>
          <t>肤色：
2026HX-SS-M
2026HX-SS-L
2026HX-SS-XL
黑色：
2026HX-BS-M
2026HX-BS-L
2026HX-BS-XL
灰色：
2026HX-GS-M
2026HX-GS-L
2026HX-GS-XL</t>
        </is>
      </c>
      <c r="N145" t="inlineStr">
        <is>
          <t>腿围+长宽高
M：80-120mm、29cm*16cm*0.2mm
L：120-140mm、29cm*17cm*0.2mm
XL：140-220mm、29cm*18cm*0.2mm</t>
        </is>
      </c>
      <c r="O145" t="inlineStr">
        <is>
          <t>≈150G左右</t>
        </is>
      </c>
      <c r="P145"/>
      <c r="Q145"/>
      <c r="R145" t="inlineStr">
        <is>
          <t>1、内置天然艾绒点阵，持续热敷舒缓膝盖不适；
2、护膝延展性高达2倍，高弹贴合不勒腿，自由活动零束缚
3、立体编织结合网眼设计，透气率提升40%，全天干爽不闷汗；
4、加宽魔术贴绑带配合双重防滑结构，紧密贴合肌肤，运动不滑落。工艺上采用精细锁边与双重经纬编织，耐用不脱线、不起球。</t>
        </is>
      </c>
      <c r="S145" t="inlineStr">
        <is>
          <t>艾绒热敷护膝是一款专为膝盖养护设计的保暖护具。产品采用双重经纬编织工艺，面料亲肤透气，久戴不勒。内置天然艾绒细密点阵，通过人体热量激发温感效应，实现恒温暖膝，有效缓解膝盖寒凉不适。护膝配备加宽魔术贴绑带，可自由调节松紧，紧密贴合腿部曲线，运动时不滑落。提供肤色、灰色、黑色三色可选，长度29厘米，适配日常保暖、运动防护及隐形内搭等多种场景。M/L/XL三码覆盖腿围80-220毫米，满足不同体型需求，给膝盖温柔守护。</t>
        </is>
      </c>
      <c r="T145" t="inlineStr">
        <is>
          <t>使用前请按腿围选择对应尺码：M码适配80-120毫米，L码适配120-140毫米，XL码适配140-220毫米。穿戴时先将护膝套入膝盖，使中心对准髌骨位置，上下边缘均匀包裹关节；再调节魔术贴绑带至舒适松紧度，确保贴合但不紧绷。日常可内搭于裤装内隐形保暖，运动时直接外穿提供支撑防护。注意事项：魔术贴请勿粘贴护膝表面，避免起球；建议手洗或轻柔机洗，避免高温烘干。正确穿戴，防滑不移位，透气不闷汗，效果更佳。</t>
        </is>
      </c>
      <c r="U145" t="inlineStr">
        <is>
          <t>DSC01218.JPG,DSC01217.JPG,8.jpg</t>
        </is>
      </c>
      <c r="V145" t="inlineStr">
        <is>
          <t>艾草养护护膝-合格证.png</t>
        </is>
      </c>
      <c r="W145" t="inlineStr">
        <is>
          <t>艾草养护护膝-检测报告.pdf</t>
        </is>
      </c>
      <c r="X145" t="inlineStr">
        <is>
          <t>艾草养护护膝.xlsx</t>
        </is>
      </c>
      <c r="Y145" t="inlineStr">
        <is>
          <t>艾草护膝发货群虞晓雨</t>
        </is>
      </c>
      <c r="Z145"/>
      <c r="AA145"/>
    </row>
    <row r="146" ht="25.5" customHeight="1">
      <c r="A146">
        <v>520</v>
      </c>
      <c r="B146" t="inlineStr">
        <is>
          <t>秘鲁牛油果</t>
        </is>
      </c>
      <c r="C146" t="inlineStr">
        <is>
          <t>主图-1.jpg</t>
        </is>
      </c>
      <c r="D146">
        <v>69.9</v>
      </c>
      <c r="E146" s="2" t="str">
        <f>=HYPERLINK("https://store.weixin.qq.com/shop/a/RRTLvIH9SLvjSFB", "致怀")</f>
        <v>致怀</v>
      </c>
      <c r="F146" t="inlineStr">
        <is>
          <t>https://store.weixin.qq.com/shop/a/RRTLvIH9SLvjSFB</t>
        </is>
      </c>
      <c r="G146" s="2" t="str">
        <f>=HYPERLINK("https://store.weixin.qq.com/shop/a/RRTLvIH9SLvjSFB", "致怀")</f>
        <v>致怀</v>
      </c>
      <c r="H146" t="inlineStr">
        <is>
          <t>https://store.weixin.qq.com/shop/a/RRTLvIH9SLvjSFB</t>
        </is>
      </c>
      <c r="I146"/>
      <c r="J146" t="inlineStr">
        <is>
          <t>🟢已上架</t>
        </is>
      </c>
      <c r="K146" t="inlineStr">
        <is>
          <t>牛油果（秘鲁产）</t>
        </is>
      </c>
      <c r="L146" t="inlineStr">
        <is>
          <t>小果100-130g, 中果130-160g, 大果160-190g</t>
        </is>
      </c>
      <c r="M146"/>
      <c r="N146" t="inlineStr">
        <is>
          <t>已熟果建议3天内吃完。</t>
        </is>
      </c>
      <c r="O146" t="inlineStr">
        <is>
          <t>小果单果100-130g
中果单果130-160g
大果单果160-190g</t>
        </is>
      </c>
      <c r="P146"/>
      <c r="Q146"/>
      <c r="R146" t="inlineStr">
        <is>
          <t>1：🌍产地直采，秘鲁原产地直供，热带高原气候，昼夜温差大，果实营养更浓，自然成熟采摘
2：✂️新鲜保障，现摘现发
全程冷链运输
，正规报关进口，品质可追溯，到手足量新鲜
3：💪超级营养，不饱和脂肪酸，膳食纤维丰富，钾超香蕉20%，叶酸含量领先，0胆固醇0反式脂
4：📏规格齐全，100g-190g三档，口感一致按需选
小果辅食大果餐，家庭商用都有解
5：🍽️百变吃法，奶昔沙拉吐司，焗虾仁三文鱼，宝宝辅食首选，快手轻食5分钟
从早到晚不重样
6：👥全家适用，健身减脂代餐，孕妇营养补充，上班族早餐，美容内服护肤，中老年护心</t>
        </is>
      </c>
      <c r="S146" t="inlineStr">
        <is>
          <t>秘鲁进口牛油果，产地直采热带水果。被誉为"森林黄油"，富含不饱和脂肪酸、膳食纤维、钾、叶酸等多种营养成分。6种规格可选，适合健身减脂、宝宝辅食、孕妇营养、上班族轻食等多场景使用。</t>
        </is>
      </c>
      <c r="T146" t="inlineStr">
        <is>
          <t>1：辨别熟度：轻按果肉有凹陷感即可食用；2：催熟：与香蕉/苹果共放于常温2-3天；3：切法：沿果身划一圈→双手拧开两半→勺子挖去果核→去皮切片或压泥即可；
4:切开后放置可以滴柠檬汁防氧化。未熟果可冷藏延缓成熟，已熟果建议3天内吃完。</t>
        </is>
      </c>
      <c r="U146" t="inlineStr">
        <is>
          <t>image.png,image.png</t>
        </is>
      </c>
      <c r="V146"/>
      <c r="W146" t="inlineStr">
        <is>
          <t>image.png</t>
        </is>
      </c>
      <c r="X146" t="inlineStr">
        <is>
          <t>秘鲁牛油果_产品信息表(1)(1).xlsx</t>
        </is>
      </c>
      <c r="Y146" t="inlineStr">
        <is>
          <t>QDT-漯河致怀【秘鲁牛油果】</t>
        </is>
      </c>
      <c r="Z146"/>
      <c r="AA146"/>
    </row>
    <row r="147" ht="25.5" customHeight="1">
      <c r="A147">
        <v>506</v>
      </c>
      <c r="B147" t="inlineStr">
        <is>
          <t>拉伸板</t>
        </is>
      </c>
      <c r="C147" t="inlineStr">
        <is>
          <t>image.png,主图_7.jpg</t>
        </is>
      </c>
      <c r="D147">
        <v>29.9</v>
      </c>
      <c r="E147" s="2" t="str">
        <f>=HYPERLINK("https://store.weixin.qq.com/shop/a/PZPKJtjDzcWIzVI", "锦川")</f>
        <v>锦川</v>
      </c>
      <c r="F147" t="inlineStr">
        <is>
          <t>https://store.weixin.qq.com/shop/a/PZPKJtjDzcWIzVI</t>
        </is>
      </c>
      <c r="G147" s="2" t="str">
        <f>=HYPERLINK("https://store.weixin.qq.com/shop/a/CP4FlWBOCEOHRyj", "锦川")</f>
        <v>锦川</v>
      </c>
      <c r="H147" t="inlineStr">
        <is>
          <t>https://store.weixin.qq.com/shop/a/CP4FlWBOCEOHRyj</t>
        </is>
      </c>
      <c r="I147"/>
      <c r="J147" t="inlineStr">
        <is>
          <t>⚫已下架</t>
        </is>
      </c>
      <c r="K147" t="inlineStr">
        <is>
          <t>pp, TPE软胶</t>
        </is>
      </c>
      <c r="L147" t="inlineStr">
        <is>
          <t>海棠粉, 牛油果绿</t>
        </is>
      </c>
      <c r="M147"/>
      <c r="N147" t="inlineStr">
        <is>
          <t>折叠尺寸 长30cm × 宽35cm × 高8cm
展开尺寸 长60cm × 宽35cm × 高25cm</t>
        </is>
      </c>
      <c r="O147" t="inlineStr">
        <is>
          <t>1.2kg
最大承重150kg</t>
        </is>
      </c>
      <c r="P147"/>
      <c r="Q147"/>
      <c r="R147" t="inlineStr">
        <is>
          <t>1、升级材质：采用全新环保TPE材质，无毒无味，柔韧性提升30%
2：人体工学设计 ：贴合人体曲线，受力更均匀，舒适度翻倍
3：多功能调节 ：多档位调节，满足不同身高体重需求
4：便携收纳：可折叠设计，轻松放入背包，随时随地使用
5：防滑稳固 底部硅胶防滑垫，使用更安全</t>
        </is>
      </c>
      <c r="S147" t="inlineStr">
        <is>
          <t>全新升级瑜伽拉伸神器，专为现代都市人群设计。采用进口环保TPE材质，无毒无味更安心。人体工学弧度设计，精准拉伸腰部、背部肌肉，缓解久坐疲劳。多档位调节，适合各种身高体型，全家适用。折叠便携设计，办公室、居家、户外随时享受拉伸放松</t>
        </is>
      </c>
      <c r="T147" t="inlineStr">
        <is>
          <t>基础拉伸 ：
 1️⃣ 展开拉伸器，调节至合适档位
 2️⃣ 坐于地面，双脚踩住底部，双手抓住把手
 3️⃣ 缓慢向后仰躺，感受背部拉伸
 4️⃣ 保持15-30秒，重复3-5组 进阶训练 ：
 配合瑜伽动作，可用于开肩、开髋、脊柱扭转等多种训练</t>
        </is>
      </c>
      <c r="U147" t="inlineStr">
        <is>
          <t>主图_7.jpg,详情图片_7.jpg</t>
        </is>
      </c>
      <c r="V147"/>
      <c r="W147"/>
      <c r="X147" t="inlineStr">
        <is>
          <t>拉伸板.xlsx</t>
        </is>
      </c>
      <c r="Y147" t="inlineStr">
        <is>
          <t>爱喜-孙教练代发</t>
        </is>
      </c>
      <c r="Z147"/>
      <c r="AA147"/>
    </row>
    <row r="148" ht="25.5" customHeight="1">
      <c r="A148">
        <v>467</v>
      </c>
      <c r="B148" t="inlineStr">
        <is>
          <t>健身弹力带拉力器（配件））</t>
        </is>
      </c>
      <c r="C148" t="inlineStr">
        <is>
          <t>图片编辑需求 (1)(1)(1).png</t>
        </is>
      </c>
      <c r="D148">
        <v>15</v>
      </c>
      <c r="E148" s="2" t="str">
        <f>=HYPERLINK("https://haohuo.jinritemai.com/ecommerce/trade/detail/index.html?id=3823679437371736367&amp;origin_type=604", "速力达")</f>
        <v>速力达</v>
      </c>
      <c r="F148" t="inlineStr">
        <is>
          <t>https://haohuo.jinritemai.com/ecommerce/trade/detail/index.html?id=3823679437371736367&amp;origin_type=604</t>
        </is>
      </c>
      <c r="G148" s="2"/>
      <c r="H148"/>
      <c r="I148" t="inlineStr">
        <is>
          <t>SPH-致怀优品, SPH-锦川优品, XHS-栖朵朵, XHS-坦彦商贸, KS-元气工厂</t>
        </is>
      </c>
      <c r="J148" t="inlineStr">
        <is>
          <t>🟢已上架</t>
        </is>
      </c>
      <c r="K148" t="inlineStr">
        <is>
          <t>TPE软胶</t>
        </is>
      </c>
      <c r="L148" t="inlineStr">
        <is>
          <t>弹力带配件</t>
        </is>
      </c>
      <c r="M148"/>
      <c r="N148"/>
      <c r="O148"/>
      <c r="P148"/>
      <c r="Q148"/>
      <c r="R148"/>
      <c r="S148"/>
      <c r="T148" t="inlineStr">
        <is>
          <t>替换掉原本坏掉的弹力带</t>
        </is>
      </c>
      <c r="U148" t="inlineStr">
        <is>
          <t>图片编辑需求 (1)(1)(1).png</t>
        </is>
      </c>
      <c r="V148"/>
      <c r="W148"/>
      <c r="X148"/>
      <c r="Y148" t="inlineStr">
        <is>
          <t>普拉提圈方形.59指压板26轮知文</t>
        </is>
      </c>
      <c r="Z148"/>
      <c r="AA148"/>
    </row>
    <row r="149" ht="25.5" customHeight="1">
      <c r="A149">
        <v>468</v>
      </c>
      <c r="B149" t="inlineStr">
        <is>
          <t>甜菜根粉</t>
        </is>
      </c>
      <c r="C149" t="inlineStr">
        <is>
          <t>image-1.jpg,d1a3ed8e38b63826e4526a630069fb1a.png</t>
        </is>
      </c>
      <c r="D149">
        <v>29.9</v>
      </c>
      <c r="E149" s="2" t="str">
        <f>=HYPERLINK("https://haohuo.jinritemai.com/ecommerce/trade/detail/index.html?id=3823689975174660177&amp;origin_type=604", "速力达")</f>
        <v>速力达</v>
      </c>
      <c r="F149" t="inlineStr">
        <is>
          <t>https://haohuo.jinritemai.com/ecommerce/trade/detail/index.html?id=3823689975174660177&amp;origin_type=604</t>
        </is>
      </c>
      <c r="G149" s="2" t="str">
        <f>=HYPERLINK("https://haohuo.jinritemai.com/ecommerce/trade/detail/index.html?id=3823696226457616755&amp;origin_type=604", "速力达")</f>
        <v>速力达</v>
      </c>
      <c r="H149" t="inlineStr">
        <is>
          <t>https://haohuo.jinritemai.com/ecommerce/trade/detail/index.html?id=3823696226457616755&amp;origin_type=604</t>
        </is>
      </c>
      <c r="I149"/>
      <c r="J149" t="inlineStr">
        <is>
          <t>🔴预售中</t>
        </is>
      </c>
      <c r="K149" t="inlineStr">
        <is>
          <t>甜菜根</t>
        </is>
      </c>
      <c r="L149" t="inlineStr">
        <is>
          <t>3g*20条</t>
        </is>
      </c>
      <c r="M149"/>
      <c r="N149" t="inlineStr">
        <is>
          <t>净含量：60g（3g×20 条）
单条尺寸：约 10×5cm
整盒尺寸：约 15×10×3cm
整盒重量：约 70g（含包装）
保质期：12 个月（常温避光密封保存）</t>
        </is>
      </c>
      <c r="O149" t="inlineStr">
        <is>
          <t>60g/盒</t>
        </is>
      </c>
      <c r="P149"/>
      <c r="Q149"/>
      <c r="R149" t="inlineStr">
        <is>
          <t>高营养天然配比：每 100g 含叶酸 160μg、膳食纤维 17.3g、铁 6.4g，纯甜菜根提取，无添加香精色素
独立定量条装：3g×20 条便携设计，防潮锁鲜，一次一条不浪费，随身可带
冲调零门槛：细腻粉质易溶解不结块，冷热皆可冲，3 秒即饮
多场景百搭：可搭配牛奶、酸奶、燕麦、果汁，早餐、办公、运动后都适用</t>
        </is>
      </c>
      <c r="S149" t="inlineStr">
        <is>
          <t>天然甜菜根粉，精选优质原料制成，富含铁、叶酸、膳食纤维。3g 独立条装，冲调方便，冷热皆可，多种搭配随心选，是日常轻养生、补充营养的便捷之选。</t>
        </is>
      </c>
      <c r="T149" t="inlineStr">
        <is>
          <t>冲调法：取 1 条（3g）倒入杯中，加入200-300ml；40℃以下温水 / 冷水（高温会破坏叶酸），搅拌即溶 可根据个人口味适当调整冲泡水量
健身专属：
运动前：1 条粉 + 300ml 温水，提前 30 分钟喝，提升耐力
运动后：1 条粉 + 250ml 蛋白粉 + 香蕉，打成奶昔，快速补充能量
小贴士
每日建议用量：1-2 条，不宜过量（过量可能导致尿液 / 粪便变红，属正常现象，停用后恢复）
搭配维生素 C 食物（橙子、猕猴桃、番茄），能大幅提升铁的吸收率</t>
        </is>
      </c>
      <c r="U149" t="inlineStr">
        <is>
          <t>image.png,image.png</t>
        </is>
      </c>
      <c r="V149"/>
      <c r="W149"/>
      <c r="X149" t="inlineStr">
        <is>
          <t>甜菜根粉.xlsx</t>
        </is>
      </c>
      <c r="Y149" t="inlineStr">
        <is>
          <t>久诺-钰-工厂代发群</t>
        </is>
      </c>
      <c r="Z149"/>
      <c r="AA149"/>
    </row>
    <row r="150" ht="25.5" customHeight="1">
      <c r="A150">
        <v>469</v>
      </c>
      <c r="B150" t="inlineStr">
        <is>
          <t>彩标绑腿沙袋</t>
        </is>
      </c>
      <c r="C150" t="inlineStr">
        <is>
          <t>主图.jpg,sku7.jpg</t>
        </is>
      </c>
      <c r="D150">
        <v>49.9</v>
      </c>
      <c r="E150" s="2" t="str">
        <f>=HYPERLINK("https://haohuo.jinritemai.com/ecommerce/trade/detail/index.html?id=3823732905394438300&amp;origin_type=604", "海智")</f>
        <v>海智</v>
      </c>
      <c r="F150" t="inlineStr">
        <is>
          <t>https://haohuo.jinritemai.com/ecommerce/trade/detail/index.html?id=3823732905394438300&amp;origin_type=604</t>
        </is>
      </c>
      <c r="G150" s="2" t="str">
        <f>=HYPERLINK("https://haohuo.jinritemai.com/ecommerce/trade/detail/index.html?id=3823732815242068336&amp;origin_type=604", "海智")</f>
        <v>海智</v>
      </c>
      <c r="H150" t="inlineStr">
        <is>
          <t>https://haohuo.jinritemai.com/ecommerce/trade/detail/index.html?id=3823732815242068336&amp;origin_type=604</t>
        </is>
      </c>
      <c r="I150"/>
      <c r="J150" t="inlineStr">
        <is>
          <t>🔴预售中</t>
        </is>
      </c>
      <c r="K150" t="inlineStr">
        <is>
          <t>锦纶</t>
        </is>
      </c>
      <c r="L150" t="inlineStr">
        <is>
          <t>薰衣草紫, 浅湖蓝, 黑色</t>
        </is>
      </c>
      <c r="M150"/>
      <c r="N150" t="inlineStr">
        <is>
          <t>长宽高尺寸
0.5kg=27cm*7.5cm*3
0.75kg=29cm*8cm*3
1kg=30.5cm*9.5cm*3</t>
        </is>
      </c>
      <c r="O150" t="inlineStr">
        <is>
          <t>0.5KG / 0.75KG / 1.0KG</t>
        </is>
      </c>
      <c r="P150"/>
      <c r="Q150"/>
      <c r="R150" t="inlineStr">
        <is>
          <t>1、升级锦纶透气面料：采用高密锦纶材质，比普通牛津布更轻薄耐磨、抗撕裂，网眼结构透气速干，久戴不闷汗、不磨腿，舞蹈生长时间练功也舒适
2、双层防漏不撒砂：密封 PVC 内胆 + 加固车线，环保铁砂填充均匀不结块、不渗漏，运动时不晃荡、不移位
3、手脚通用多场景：可绑腿 / 绑手，适配舞蹈基本功、跑步、健身、武术、康复训练等，日常居家 / 户外都能用
4、穿戴稳固可调：加宽强力魔术贴绑带，粘性强可自由调节松紧，贴合肌肤不勒腿，剧烈运动也不滑落</t>
        </is>
      </c>
      <c r="S150" t="inlineStr">
        <is>
          <t>2026款全新沙袋！升级锦纶透气面料，轻薄耐磨不闷汗，双层防漏内胆不撒砂。科学配重均匀不晃荡，加宽魔术贴穿戴稳固，手脚通用。助力提升舞蹈基本功、体能训练，跑步健身也适用，居家训练必备</t>
        </is>
      </c>
      <c r="T150" t="inlineStr">
        <is>
          <t>绑腿用法：将沙袋平整包裹在脚踝上方 2-3cm 小腿处，魔术贴从下往上缠绕固定，轻晃确认不滑落即可
绑手用法：包裹在手腕上方小臂处，调整松紧至舒适状态，适合手臂力量训练
训练建议：舞蹈基本功每次 20-30 分钟，跑步健身每次 15-20 分钟，每日 1-2 次
收纳方法：使用后用干布擦拭表面汗水，折叠存放于阴凉干燥处</t>
        </is>
      </c>
      <c r="U150" t="inlineStr">
        <is>
          <t>主图.png,沙袋_18.jpg</t>
        </is>
      </c>
      <c r="V150"/>
      <c r="W150" t="inlineStr">
        <is>
          <t>彩标绑腿沙袋-质检报告.rar</t>
        </is>
      </c>
      <c r="X150" t="inlineStr">
        <is>
          <t>彩标绑腿沙袋.xlsx</t>
        </is>
      </c>
      <c r="Y150" t="inlineStr">
        <is>
          <t>沙袋彩标2025</t>
        </is>
      </c>
      <c r="Z150"/>
      <c r="AA150"/>
    </row>
    <row r="151" ht="25.5" customHeight="1">
      <c r="A151">
        <v>470</v>
      </c>
      <c r="B151" t="inlineStr">
        <is>
          <t>九制暖阳姜片</t>
        </is>
      </c>
      <c r="C151" t="inlineStr">
        <is>
          <t>02 (2).jpg,01.png</t>
        </is>
      </c>
      <c r="D151">
        <v>129</v>
      </c>
      <c r="E151" s="2" t="str">
        <f>=HYPERLINK("https://store.weixin.qq.com/shop/a/9GNq6hZIBNO1Ccy", "锦川")</f>
        <v>锦川</v>
      </c>
      <c r="F151" t="inlineStr">
        <is>
          <t>https://store.weixin.qq.com/shop/a/9GNq6hZIBNO1Ccy</t>
        </is>
      </c>
      <c r="G151" s="2" t="str">
        <f>=HYPERLINK("https://store.weixin.qq.com/shop/a/etq7Jf2iusBA3uH", "锦川")</f>
        <v>锦川</v>
      </c>
      <c r="H151" t="inlineStr">
        <is>
          <t>https://store.weixin.qq.com/shop/a/etq7Jf2iusBA3uH</t>
        </is>
      </c>
      <c r="I151"/>
      <c r="J151" t="inlineStr">
        <is>
          <t>🟢已上架</t>
        </is>
      </c>
      <c r="K151" t="inlineStr">
        <is>
          <t>生姜、红糖、红枣、甘草、肉桂、枸杞子、党参  陈皮、桑椹、麦冬</t>
        </is>
      </c>
      <c r="L151" t="inlineStr">
        <is>
          <t>112g*3盒装</t>
        </is>
      </c>
      <c r="M151"/>
      <c r="N151" t="inlineStr">
        <is>
          <t>3个月</t>
        </is>
      </c>
      <c r="O151" t="inlineStr">
        <is>
          <t>112g/盒（8gx14）</t>
        </is>
      </c>
      <c r="P151"/>
      <c r="Q151"/>
      <c r="R151" t="inlineStr">
        <is>
          <t>1，九味草本复配配方：生姜搭配党参、肉桂、红枣、枸杞、陈皮、桑椹、麦冬、甘草、红糖，多种日常食补食材搭配，配料干净。
2，古法九制工艺：遵循传统炮制工艺，7 斤鲜姜浓缩仅出 1 斤姜片，姜味浓郁，减少辛辣冲喉感。
3，双吃法设计：既能直接当零食即食，也可沸水冲泡代茶饮，晨起、日常闲暇都能食用。
原料优选：选用山东本地小黄姜为基底，肉质厚实，姜香纯正。</t>
        </is>
      </c>
      <c r="S151" t="inlineStr">
        <is>
          <t>本品为御宫食九制暖阳草本姜片，甄选山东小黄姜为主原料，复配红枣、枸杞、党参等九种药食同源食材，沿用古法九制慢熬工艺，经多道工序炮制而成。
 摒弃过重辛辣，口感温润，去除生鲜姜的刺激感，成品干姜片干爽紧实。不添加多余杂料，兼顾即食零食与泡水茶饮两种食用场景，日常居家、上班出行便携食用，是日常食补小零食。</t>
        </is>
      </c>
      <c r="T151" t="inlineStr">
        <is>
          <t>1，即食吃法
直接取 1～2 片姜片入口咀嚼，晨起空腹、饭后休闲均可食用。
2、泡水茶饮法
取 2～3 片姜片放入杯中，倒入 85℃以上沸水，焖泡 3～5 分钟即可饮用，可反复续水，泡完姜片也可吃掉。
小贴士：按需控制食用量，每日适量食用即可。</t>
        </is>
      </c>
      <c r="U151" t="inlineStr">
        <is>
          <t>姜片 效果图.jpg</t>
        </is>
      </c>
      <c r="V151"/>
      <c r="W151" t="inlineStr">
        <is>
          <t>image.png,姜片生产许可证.doc,ZJJC2026040562-九味暖阳姜片(1).pdf,ZJJC2026040562-九味暖阳姜片(1).pdf</t>
        </is>
      </c>
      <c r="X151" t="inlineStr">
        <is>
          <t>九制暖阳姜片产品信息表_.xlsx</t>
        </is>
      </c>
      <c r="Y151" t="inlineStr">
        <is>
          <t>九制暖阳姜片云仓沟通</t>
        </is>
      </c>
      <c r="Z151"/>
      <c r="AA151"/>
    </row>
    <row r="152" ht="25.5" customHeight="1">
      <c r="A152">
        <v>471</v>
      </c>
      <c r="B152" t="inlineStr">
        <is>
          <t>老北京元气茯苓八珍足贴</t>
        </is>
      </c>
      <c r="C152" t="inlineStr">
        <is>
          <t>SKU.jpg,c.jpg</t>
        </is>
      </c>
      <c r="D152">
        <v>19.9</v>
      </c>
      <c r="E152" s="2" t="str">
        <f>=HYPERLINK("https://store.weixin.qq.com/shop/a/nQ11mvVLPib93vn", "锦川")</f>
        <v>锦川</v>
      </c>
      <c r="F152" t="inlineStr">
        <is>
          <t>https://store.weixin.qq.com/shop/a/nQ11mvVLPib93vn</t>
        </is>
      </c>
      <c r="G152" s="2" t="str">
        <f>=HYPERLINK("https://store.weixin.qq.com/shop/a/ViKRuSbn8yixdGu", "锦川")</f>
        <v>锦川</v>
      </c>
      <c r="H152" t="inlineStr">
        <is>
          <t>https://store.weixin.qq.com/shop/a/ViKRuSbn8yixdGu</t>
        </is>
      </c>
      <c r="I152"/>
      <c r="J152" t="inlineStr">
        <is>
          <t>🟢已上架</t>
        </is>
      </c>
      <c r="K152" t="inlineStr">
        <is>
          <t>茯苓, 鸡血藤, 姜粉, 独活, 五指毛桃</t>
        </is>
      </c>
      <c r="L152" t="inlineStr">
        <is>
          <t>30贴/盒</t>
        </is>
      </c>
      <c r="M152"/>
      <c r="N152" t="inlineStr">
        <is>
          <t>有效期：3年
贴剂尺寸：≈8cm × 10cm</t>
        </is>
      </c>
      <c r="O152" t="inlineStr">
        <is>
          <t>单贴重量≈5g
总重量≈185g</t>
        </is>
      </c>
      <c r="P152"/>
      <c r="Q152" t="inlineStr">
        <is>
          <t>电子食谱</t>
        </is>
      </c>
      <c r="R152" t="inlineStr">
        <is>
          <t>1：多味草本原料合理配比，添加竹醋成分，粉质细腻
2：采用透气胶布设计，贴合足底，使用感温和不闷肤
3：操作简单便捷，晚贴早撕，可利用休息时间完成足部日常护理
4：单贴独立使用，干净卫生，居家、差旅场景均可使用</t>
        </is>
      </c>
      <c r="S152" t="inlineStr">
        <is>
          <t>专为日常足部养护设计，多味草本植物合理配比，给双脚带来温和的舒缓护理体验。精选多种草本成分，粉质细腻易吸收；透气无纺布胶布亲肤低敏，粘贴牢固不闷脚，走路活动也不易脱落</t>
        </is>
      </c>
      <c r="T152" t="inlineStr">
        <is>
          <t>使用很简单的，晚上睡前贴在脚心位置，把胶布四周压牢就可以，一般贴 8 小时左右，早上起来揭掉擦干净脚就行，不会影响白天的日常活动～</t>
        </is>
      </c>
      <c r="U152"/>
      <c r="V152"/>
      <c r="W152" t="inlineStr">
        <is>
          <t>acf3da69515be21260a5932b23d9b67b.jpg,f3b98c4bd41ca04aa7014161aec11205.jpg,2388bf2c6577486c884e9aa42fed700e.jpg</t>
        </is>
      </c>
      <c r="X152" t="inlineStr">
        <is>
          <t>老北京元气茯苓八珍足贴.xlsx</t>
        </is>
      </c>
      <c r="Y152" t="inlineStr">
        <is>
          <t>百年龙氏足浴包9818</t>
        </is>
      </c>
      <c r="Z152"/>
      <c r="AA152"/>
    </row>
    <row r="153" ht="25.5" customHeight="1">
      <c r="A153">
        <v>472</v>
      </c>
      <c r="B153" t="inlineStr">
        <is>
          <t>超薄透气护腰带</t>
        </is>
      </c>
      <c r="C153" t="inlineStr">
        <is>
          <t>主图-2.jpg,主图-5.jpg</t>
        </is>
      </c>
      <c r="D153">
        <v>59.9</v>
      </c>
      <c r="E153" s="2" t="str">
        <f>=HYPERLINK("https://store.weixin.qq.com/shop/a/vVDLWuMavgDY2Yk", "锦川")</f>
        <v>锦川</v>
      </c>
      <c r="F153" t="inlineStr">
        <is>
          <t>https://store.weixin.qq.com/shop/a/vVDLWuMavgDY2Yk</t>
        </is>
      </c>
      <c r="G153" s="2" t="str">
        <f>=HYPERLINK("https://store.weixin.qq.com/shop/a/5eRIXI7utsGLtUE", "锦川")</f>
        <v>锦川</v>
      </c>
      <c r="H153" t="inlineStr">
        <is>
          <t>https://store.weixin.qq.com/shop/a/5eRIXI7utsGLtUE</t>
        </is>
      </c>
      <c r="I153"/>
      <c r="J153" t="inlineStr">
        <is>
          <t>🔴预售中</t>
        </is>
      </c>
      <c r="K153" t="inlineStr">
        <is>
          <t>氨纶</t>
        </is>
      </c>
      <c r="L153" t="inlineStr">
        <is>
          <t>M码, L码, XL码</t>
        </is>
      </c>
      <c r="M153"/>
      <c r="N153" t="inlineStr">
        <is>
          <t>90-110cm</t>
        </is>
      </c>
      <c r="O153" t="inlineStr">
        <is>
          <t>150g</t>
        </is>
      </c>
      <c r="P153"/>
      <c r="Q153"/>
      <c r="R153" t="inlineStr">
        <is>
          <t>1、超薄隐形 ：薄如蝉翼，穿衣服完全看不出来
2、透气舒适 ：鱼鳞条设计，通风不闷汗
3、双重支撑 ：2块钢板加持，支撑力MAX
4、无痕收腹 ：悄悄收住小肚腩，秒变小蛮腰</t>
        </is>
      </c>
      <c r="S153" t="inlineStr">
        <is>
          <t>超薄透气护腰带 | 隐形支撑 舒适护腰
 采用人体工学设计，贴合腰椎生理曲线。超薄透气面料搭配鱼鳞条透气结构，确保佩戴时的舒适与干爽。内置双钢板支撑系统，提供稳定的腰部支撑，有效缓解腰肌劳损。高弹性收束功能，兼具收腹塑形效果。肤色设计，外穿无痕，适合日常办公、运动健身、产后恢复等多种场景使用。</t>
        </is>
      </c>
      <c r="T153" t="inlineStr">
        <is>
          <t>1、展开腰带，将有支撑板的一侧对准后腰腰骶部（不是腰中间哦）
2、将腰带两端对扣在腹前，初步固定
3、交叉两侧副绑带，左右对称拉紧，调整到舒适的力度
4、再次扣紧魔术贴，完成佩戴～
小技巧：支撑板要对准腰窝位置，支撑效果才最好！</t>
        </is>
      </c>
      <c r="U153"/>
      <c r="V153"/>
      <c r="W153"/>
      <c r="X153" t="inlineStr">
        <is>
          <t>超薄透气护腰带.xlsx</t>
        </is>
      </c>
      <c r="Y153" t="inlineStr">
        <is>
          <t>艾草护膝发货群虞晓雨</t>
        </is>
      </c>
      <c r="Z153"/>
      <c r="AA153"/>
    </row>
    <row r="154" ht="25.5" customHeight="1">
      <c r="A154">
        <v>473</v>
      </c>
      <c r="B154" t="inlineStr">
        <is>
          <t>肩颈牵引枕</t>
        </is>
      </c>
      <c r="C154" t="inlineStr">
        <is>
          <t>主图_1.jpg</t>
        </is>
      </c>
      <c r="D154">
        <v>29.9</v>
      </c>
      <c r="E154" s="2" t="str">
        <f>=HYPERLINK("https://haohuo.jinritemai.com/ecommerce/trade/detail/index.html?id=3824844501147583284&amp;origin_type=604", "速力达")</f>
        <v>速力达</v>
      </c>
      <c r="F154" t="inlineStr">
        <is>
          <t>https://haohuo.jinritemai.com/ecommerce/trade/detail/index.html?id=3824844501147583284&amp;origin_type=604</t>
        </is>
      </c>
      <c r="G154" s="2" t="str">
        <f>=HYPERLINK("https://haohuo.jinritemai.com/ecommerce/trade/detail/index.html?id=3824845025108426903&amp;origin_type=604", "速力达")</f>
        <v>速力达</v>
      </c>
      <c r="H154" t="inlineStr">
        <is>
          <t>https://haohuo.jinritemai.com/ecommerce/trade/detail/index.html?id=3824845025108426903&amp;origin_type=604</t>
        </is>
      </c>
      <c r="I154"/>
      <c r="J154" t="inlineStr">
        <is>
          <t>⚫已下架</t>
        </is>
      </c>
      <c r="K154" t="inlineStr">
        <is>
          <t>聚氨酯PU</t>
        </is>
      </c>
      <c r="L154" t="inlineStr">
        <is>
          <t>白色</t>
        </is>
      </c>
      <c r="M154"/>
      <c r="N154" t="inlineStr">
        <is>
          <t>长款高
20*16*11.5cm</t>
        </is>
      </c>
      <c r="O154" t="inlineStr">
        <is>
          <t>0.28kg</t>
        </is>
      </c>
      <c r="P154"/>
      <c r="Q154"/>
      <c r="R154" t="inlineStr">
        <is>
          <t>1、3D指压按摩：12颗按摩颗粒，模拟真人指压手法，比普通牵引枕多30%按摩触点
2、科学牵引角度：15°黄金仰角，精准拉伸颈椎间隙，骨科医生推荐角度
3、5秒回弹：高弹性支撑，久用不变形，比普通记忆棉回弹快3倍
4、懒人友好清洁：防水防汗表层，汗渍油污一冲即净，使用干净卫生</t>
        </is>
      </c>
      <c r="S154" t="inlineStr">
        <is>
          <t>人体工学肩颈牵引枕，双向拉伸 + 指压按摩，在家就能做肩颈SPA~15°黄金牵引角度，精准拉伸紧绷的颈椎，12颗指压颗粒像按摩师的手一样，精准按压穴位，酸痛感瞬间消失！透气不闷汗，夏天用也舒服</t>
        </is>
      </c>
      <c r="T154" t="inlineStr">
        <is>
          <t>仰卧在平坦的床面或地面上，保持膝盖弯曲
将牵引枕垫在靠近肩部的颈部后方（找准 C 位）
双手自然放在头部两侧，全身放松，使用结束后，先移出枕头，继续平躺休息 2-3 分钟再缓慢起身</t>
        </is>
      </c>
      <c r="U154"/>
      <c r="V154"/>
      <c r="W154"/>
      <c r="X154" t="inlineStr">
        <is>
          <t>肩颈牵引枕.xlsx</t>
        </is>
      </c>
      <c r="Y154" t="inlineStr">
        <is>
          <t>环形按摩滚轮&amp;液态指压板</t>
        </is>
      </c>
      <c r="Z154"/>
      <c r="AA154"/>
    </row>
    <row r="155" ht="25.5" customHeight="1">
      <c r="A155">
        <v>474</v>
      </c>
      <c r="B155" t="inlineStr">
        <is>
          <t>滋补套装-黑芝麻丸</t>
        </is>
      </c>
      <c r="C155" t="inlineStr">
        <is>
          <t>套装图.jpg,五黑芝麻丸  1罐.jpg</t>
        </is>
      </c>
      <c r="D155">
        <v>39.9</v>
      </c>
      <c r="E155" s="2" t="str">
        <f>=HYPERLINK("https://haohuo.jinritemai.com/ecommerce/trade/detail/index.html?id=3825035932076212521&amp;origin_type=604", "速力达（锦川、快手、坦彦）")</f>
        <v>速力达（锦川、快手、坦彦）</v>
      </c>
      <c r="F155" t="inlineStr">
        <is>
          <t>https://haohuo.jinritemai.com/ecommerce/trade/detail/index.html?id=3825035932076212521&amp;origin_type=604</t>
        </is>
      </c>
      <c r="G155" s="2" t="str">
        <f>=HYPERLINK("https://haohuo.jinritemai.com/ecommerce/trade/detail/index.html?id=3825003034723877234&amp;origin_type=604", "速力达（锦川、快手、坦彦）")</f>
        <v>速力达（锦川、快手、坦彦）</v>
      </c>
      <c r="H155" t="inlineStr">
        <is>
          <t>https://haohuo.jinritemai.com/ecommerce/trade/detail/index.html?id=3825003034723877234&amp;origin_type=604</t>
        </is>
      </c>
      <c r="I155"/>
      <c r="J155" t="inlineStr">
        <is>
          <t>⚫已下架</t>
        </is>
      </c>
      <c r="K155" t="inlineStr">
        <is>
          <t>黑芝麻、黑米、黑豆、桑葚、黑枸杞、蜂蜜</t>
        </is>
      </c>
      <c r="L155" t="inlineStr">
        <is>
          <t>罐</t>
        </is>
      </c>
      <c r="M155"/>
      <c r="N155" t="inlineStr">
        <is>
          <t>6个月</t>
        </is>
      </c>
      <c r="O155" t="inlineStr">
        <is>
          <t>108g
（9g*12颗）</t>
        </is>
      </c>
      <c r="P155"/>
      <c r="Q155"/>
      <c r="R155" t="inlineStr">
        <is>
          <t>1、传统配方 古法炮制工艺，传承百年配方非物质文化遗产工艺
2、真材实料 精选优质原料，拒绝添加防腐剂 0添加更健康
3、独立包装 单颗独立包装，方便携带随时随地滋补
4、手工制作 匠心手作，每颗都是艺术品温度与品质并存</t>
        </is>
      </c>
      <c r="S155" t="inlineStr">
        <is>
          <t>精选五款经典配方，满足全家不同滋补需求
采用低温烘焙工艺，保留食材原生营养，细腻研磨口感绵密，不齁甜不油腻。每颗独立包装，干净卫生方便携带，办公间隙、追剧、出差随时能吃</t>
        </is>
      </c>
      <c r="T155" t="inlineStr">
        <is>
          <t>食用建议：
每天1-2颗哦！早上吃可以唤醒身体，晚上吃有助于睡眠，坚持食用效果更好~
注意事项：
开封后请尽快食用，避免受潮~忌食辛辣生冷食物，如有不适请立即停止食用并咨询医生</t>
        </is>
      </c>
      <c r="U155"/>
      <c r="V155"/>
      <c r="W155"/>
      <c r="X155" t="inlineStr">
        <is>
          <t>滋补套餐-丸系列.xlsx</t>
        </is>
      </c>
      <c r="Y155" t="inlineStr">
        <is>
          <t>速力达优品店，药善源对接群</t>
        </is>
      </c>
      <c r="Z155"/>
      <c r="AA155"/>
    </row>
    <row r="156" ht="25.5" customHeight="1">
      <c r="A156">
        <v>527</v>
      </c>
      <c r="B156" t="inlineStr">
        <is>
          <t>滋补套装-玫瑰芝麻丸</t>
        </is>
      </c>
      <c r="C156" t="inlineStr">
        <is>
          <t>套装图.jpg,主图.png</t>
        </is>
      </c>
      <c r="D156">
        <v>39.9</v>
      </c>
      <c r="E156" s="2" t="str">
        <f>=HYPERLINK("https://haohuo.jinritemai.com/ecommerce/trade/detail/index.html?id=3825035932076212521&amp;origin_type=604", "速力达（锦川、快手、坦彦）")</f>
        <v>速力达（锦川、快手、坦彦）</v>
      </c>
      <c r="F156" t="inlineStr">
        <is>
          <t>https://haohuo.jinritemai.com/ecommerce/trade/detail/index.html?id=3825035932076212521&amp;origin_type=604</t>
        </is>
      </c>
      <c r="G156" s="2" t="str">
        <f>=HYPERLINK("https://haohuo.jinritemai.com/ecommerce/trade/detail/index.html?id=3825003034723877234&amp;origin_type=604", "速力达（锦川、快手、坦彦）")</f>
        <v>速力达（锦川、快手、坦彦）</v>
      </c>
      <c r="H156" t="inlineStr">
        <is>
          <t>https://haohuo.jinritemai.com/ecommerce/trade/detail/index.html?id=3825003034723877234&amp;origin_type=604</t>
        </is>
      </c>
      <c r="I156"/>
      <c r="J156" t="inlineStr">
        <is>
          <t>⚫已下架</t>
        </is>
      </c>
      <c r="K156" t="inlineStr">
        <is>
          <t>花生、红枣、红豆、红米、红糖、蜂蜜</t>
        </is>
      </c>
      <c r="L156" t="inlineStr">
        <is>
          <t>罐</t>
        </is>
      </c>
      <c r="M156"/>
      <c r="N156" t="inlineStr">
        <is>
          <t>6个月</t>
        </is>
      </c>
      <c r="O156" t="inlineStr">
        <is>
          <t>108g
（9g*12颗）</t>
        </is>
      </c>
      <c r="P156"/>
      <c r="Q156"/>
      <c r="R156" t="inlineStr">
        <is>
          <t>1、传统配方 古法炮制工艺，传承百年配方非物质文化遗产工艺
2、真材实料 精选优质原料，拒绝添加防腐剂 0添加更健康
3、独立包装 单颗独立包装，方便携带随时随地滋补
4、手工制作 匠心手作，每颗都是艺术品温度与品质并存</t>
        </is>
      </c>
      <c r="S156" t="inlineStr">
        <is>
          <t>精选五款经典配方，满足全家不同滋补需求
采用低温烘焙工艺，保留食材原生营养，细腻研磨口感绵密，不齁甜不油腻。每颗独立包装，干净卫生方便携带，办公间隙、追剧、出差随时能吃</t>
        </is>
      </c>
      <c r="T156" t="inlineStr">
        <is>
          <t>食用建议：
每天1-2颗哦！早上吃可以唤醒身体，晚上吃有助于睡眠，坚持食用效果更好~
注意事项：
开封后请尽快食用，避免受潮~忌食辛辣生冷食物，如有不适请立即停止食用并咨询医生</t>
        </is>
      </c>
      <c r="U156"/>
      <c r="V156"/>
      <c r="W156"/>
      <c r="X156"/>
      <c r="Y156" t="inlineStr">
        <is>
          <t>速力达优品店，药善源对接群</t>
        </is>
      </c>
      <c r="Z156" t="inlineStr">
        <is>
          <t>474</t>
        </is>
      </c>
      <c r="AA156"/>
    </row>
    <row r="157" ht="25.5" customHeight="1">
      <c r="A157">
        <v>507</v>
      </c>
      <c r="B157" t="inlineStr">
        <is>
          <t>滋补套装-无花果黑芝麻</t>
        </is>
      </c>
      <c r="C157" t="inlineStr">
        <is>
          <t>套装图.jpg,无花果黑芝麻.jpg</t>
        </is>
      </c>
      <c r="D157">
        <v>39.9</v>
      </c>
      <c r="E157" s="2" t="str">
        <f>=HYPERLINK("https://haohuo.jinritemai.com/ecommerce/trade/detail/index.html?id=3825035932076212521&amp;origin_type=604", "速力达（锦川、快手、坦彦）")</f>
        <v>速力达（锦川、快手、坦彦）</v>
      </c>
      <c r="F157" t="inlineStr">
        <is>
          <t>https://haohuo.jinritemai.com/ecommerce/trade/detail/index.html?id=3825035932076212521&amp;origin_type=604</t>
        </is>
      </c>
      <c r="G157" s="2" t="str">
        <f>=HYPERLINK("https://haohuo.jinritemai.com/ecommerce/trade/detail/index.html?id=3825003034723877234&amp;origin_type=604", "速力达（锦川、快手、坦彦）")</f>
        <v>速力达（锦川、快手、坦彦）</v>
      </c>
      <c r="H157" t="inlineStr">
        <is>
          <t>https://haohuo.jinritemai.com/ecommerce/trade/detail/index.html?id=3825003034723877234&amp;origin_type=604</t>
        </is>
      </c>
      <c r="I157"/>
      <c r="J157" t="inlineStr">
        <is>
          <t>⚫已下架</t>
        </is>
      </c>
      <c r="K157" t="inlineStr">
        <is>
          <t>黑芝麻、桑葚、黑豆、葛根、无花果、黑枸杞、红枸杞、南瓜子、亚麻籽、蜂蜜</t>
        </is>
      </c>
      <c r="L157" t="inlineStr">
        <is>
          <t>罐</t>
        </is>
      </c>
      <c r="M157"/>
      <c r="N157" t="inlineStr">
        <is>
          <t>6个月</t>
        </is>
      </c>
      <c r="O157" t="inlineStr">
        <is>
          <t>108g
（9g*12颗）</t>
        </is>
      </c>
      <c r="P157"/>
      <c r="Q157"/>
      <c r="R157" t="inlineStr">
        <is>
          <t>1、传统配方 古法炮制工艺，传承百年配方非物质文化遗产工艺
2、真材实料 精选优质原料，拒绝添加防腐剂 0添加更健康
3、独立包装 单颗独立包装，方便携带随时随地滋补
4、手工制作 匠心手作，每颗都是艺术品温度与品质并存</t>
        </is>
      </c>
      <c r="S157" t="inlineStr">
        <is>
          <t>精选五款经典配方，满足全家不同滋补需求
采用低温烘焙工艺，保留食材原生营养，细腻研磨口感绵密，不齁甜不油腻。每颗独立包装，干净卫生方便携带，办公间隙、追剧、出差随时能吃</t>
        </is>
      </c>
      <c r="T157" t="inlineStr">
        <is>
          <t>食用建议：
每天1-2颗哦！早上吃可以唤醒身体，晚上吃有助于睡眠，坚持食用效果更好~
注意事项：
开封后请尽快食用，避免受潮~忌食辛辣生冷食物，如有不适请立即停止食用并咨询医生</t>
        </is>
      </c>
      <c r="U157"/>
      <c r="V157"/>
      <c r="W157"/>
      <c r="X157"/>
      <c r="Y157" t="inlineStr">
        <is>
          <t>速力达优品店，药善源对接群</t>
        </is>
      </c>
      <c r="Z157" t="inlineStr">
        <is>
          <t>474</t>
        </is>
      </c>
      <c r="AA157"/>
    </row>
    <row r="158" ht="25.5" customHeight="1">
      <c r="A158">
        <v>476</v>
      </c>
      <c r="B158" t="inlineStr">
        <is>
          <t>滋补套装-黄精芝麻丸</t>
        </is>
      </c>
      <c r="C158" t="inlineStr">
        <is>
          <t>套装图.jpg,主图.png</t>
        </is>
      </c>
      <c r="D158">
        <v>39.9</v>
      </c>
      <c r="E158" s="2" t="str">
        <f>=HYPERLINK("https://haohuo.jinritemai.com/ecommerce/trade/detail/index.html?id=3825035932076212521&amp;origin_type=604", "速力达（锦川、快手、坦彦）")</f>
        <v>速力达（锦川、快手、坦彦）</v>
      </c>
      <c r="F158" t="inlineStr">
        <is>
          <t>https://haohuo.jinritemai.com/ecommerce/trade/detail/index.html?id=3825035932076212521&amp;origin_type=604</t>
        </is>
      </c>
      <c r="G158" s="2" t="str">
        <f>=HYPERLINK("https://haohuo.jinritemai.com/ecommerce/trade/detail/index.html?id=3825003034723877234&amp;origin_type=604", "速力达（锦川、快手、坦彦）")</f>
        <v>速力达（锦川、快手、坦彦）</v>
      </c>
      <c r="H158" t="inlineStr">
        <is>
          <t>https://haohuo.jinritemai.com/ecommerce/trade/detail/index.html?id=3825003034723877234&amp;origin_type=604</t>
        </is>
      </c>
      <c r="I158"/>
      <c r="J158" t="inlineStr">
        <is>
          <t>⚫已下架</t>
        </is>
      </c>
      <c r="K158" t="inlineStr">
        <is>
          <t>红枣、黑芝麻、茯苓、山药、枸杞、玫瑰花(重瓣红玫瑰)、百合、佛手、山楂、蜂蜜</t>
        </is>
      </c>
      <c r="L158" t="inlineStr">
        <is>
          <t>罐</t>
        </is>
      </c>
      <c r="M158"/>
      <c r="N158" t="inlineStr">
        <is>
          <t>6个月</t>
        </is>
      </c>
      <c r="O158" t="inlineStr">
        <is>
          <t>108g
（9g*12颗）</t>
        </is>
      </c>
      <c r="P158"/>
      <c r="Q158"/>
      <c r="R158" t="inlineStr">
        <is>
          <t>1、传统配方 古法炮制工艺，传承百年配方非物质文化遗产工艺
2、真材实料 精选优质原料，拒绝添加防腐剂 0添加更健康
3、独立包装 单颗独立包装，方便携带随时随地滋补
4、手工制作 匠心手作，每颗都是艺术品温度与品质并存</t>
        </is>
      </c>
      <c r="S158" t="inlineStr">
        <is>
          <t>精选五款经典配方，满足全家不同滋补需求
采用低温烘焙工艺，保留食材原生营养，细腻研磨口感绵密，不齁甜不油腻。每颗独立包装，干净卫生方便携带，办公间隙、追剧、出差随时能吃</t>
        </is>
      </c>
      <c r="T158" t="inlineStr">
        <is>
          <t>食用建议：
每天1-2颗哦！早上吃可以唤醒身体，晚上吃有助于睡眠，坚持食用效果更好~
注意事项：
开封后请尽快食用，避免受潮~忌食辛辣生冷食物，如有不适请立即停止食用并咨询医生</t>
        </is>
      </c>
      <c r="U158"/>
      <c r="V158"/>
      <c r="W158"/>
      <c r="X158"/>
      <c r="Y158" t="inlineStr">
        <is>
          <t>速力达优品店，药善源对接群</t>
        </is>
      </c>
      <c r="Z158" t="inlineStr">
        <is>
          <t>474</t>
        </is>
      </c>
      <c r="AA158"/>
    </row>
    <row r="159" ht="25.5" customHeight="1">
      <c r="A159">
        <v>475</v>
      </c>
      <c r="B159" t="inlineStr">
        <is>
          <t>滋补套装-五红丸</t>
        </is>
      </c>
      <c r="C159" t="inlineStr">
        <is>
          <t>套装图.jpg,五红丸.jpg</t>
        </is>
      </c>
      <c r="D159">
        <v>39.9</v>
      </c>
      <c r="E159" s="2" t="str">
        <f>=HYPERLINK("https://haohuo.jinritemai.com/ecommerce/trade/detail/index.html?id=3825035932076212521&amp;origin_type=604", "速力达（锦川、快手、坦彦）")</f>
        <v>速力达（锦川、快手、坦彦）</v>
      </c>
      <c r="F159" t="inlineStr">
        <is>
          <t>https://haohuo.jinritemai.com/ecommerce/trade/detail/index.html?id=3825035932076212521&amp;origin_type=604</t>
        </is>
      </c>
      <c r="G159" s="2" t="str">
        <f>=HYPERLINK("https://haohuo.jinritemai.com/ecommerce/trade/detail/index.html?id=3825003034723877234&amp;origin_type=604", "速力达（锦川、快手、坦彦）")</f>
        <v>速力达（锦川、快手、坦彦）</v>
      </c>
      <c r="H159" t="inlineStr">
        <is>
          <t>https://haohuo.jinritemai.com/ecommerce/trade/detail/index.html?id=3825003034723877234&amp;origin_type=604</t>
        </is>
      </c>
      <c r="I159"/>
      <c r="J159" t="inlineStr">
        <is>
          <t>⚫已下架</t>
        </is>
      </c>
      <c r="K159" t="inlineStr">
        <is>
          <t>红枣、花生、芡实、白扁豆、桂圆、葡萄干、莲子、铁皮石斛、蜂蜜、白芝麻、黄精、核桃仁、覆盆子、亚麻籽</t>
        </is>
      </c>
      <c r="L159" t="inlineStr">
        <is>
          <t>罐</t>
        </is>
      </c>
      <c r="M159"/>
      <c r="N159" t="inlineStr">
        <is>
          <t>6个月</t>
        </is>
      </c>
      <c r="O159" t="inlineStr">
        <is>
          <t>108g
（9g*12颗）</t>
        </is>
      </c>
      <c r="P159"/>
      <c r="Q159"/>
      <c r="R159" t="inlineStr">
        <is>
          <t>1、传统配方 古法炮制工艺，传承百年配方非物质文化遗产工艺
2、真材实料 精选优质原料，拒绝添加防腐剂 0添加更健康
3、独立包装 单颗独立包装，方便携带随时随地滋补
4、手工制作 匠心手作，每颗都是艺术品温度与品质并存</t>
        </is>
      </c>
      <c r="S159" t="inlineStr">
        <is>
          <t>精选五款经典配方，满足全家不同滋补需求
采用低温烘焙工艺，保留食材原生营养，细腻研磨口感绵密，不齁甜不油腻。每颗独立包装，干净卫生方便携带，办公间隙、追剧、出差随时能吃</t>
        </is>
      </c>
      <c r="T159" t="inlineStr">
        <is>
          <t>食用建议：
每天1-2颗哦！早上吃可以唤醒身体，晚上吃有助于睡眠，坚持食用效果更好~
注意事项：
开封后请尽快食用，避免受潮~忌食辛辣生冷食物，如有不适请立即停止食用并咨询医生</t>
        </is>
      </c>
      <c r="U159"/>
      <c r="V159"/>
      <c r="W159"/>
      <c r="X159"/>
      <c r="Y159" t="inlineStr">
        <is>
          <t>速力达优品店，药善源对接群</t>
        </is>
      </c>
      <c r="Z159" t="inlineStr">
        <is>
          <t>474</t>
        </is>
      </c>
      <c r="AA159"/>
    </row>
    <row r="160" ht="25.5" customHeight="1">
      <c r="A160">
        <v>545</v>
      </c>
      <c r="B160" t="inlineStr">
        <is>
          <t>二十四节气手帐</t>
        </is>
      </c>
      <c r="C160" t="inlineStr">
        <is>
          <t>image.png</t>
        </is>
      </c>
      <c r="D160">
        <v>99</v>
      </c>
      <c r="E160" s="2" t="str">
        <f>=HYPERLINK("https://store.weixin.qq.com/shop/a/xkqskr5iPEQnM3s", "原物集")</f>
        <v>原物集</v>
      </c>
      <c r="F160" t="inlineStr">
        <is>
          <t>https://store.weixin.qq.com/shop/a/xkqskr5iPEQnM3s</t>
        </is>
      </c>
      <c r="G160" s="2"/>
      <c r="H160"/>
      <c r="I160"/>
      <c r="J160" t="inlineStr">
        <is>
          <t>🟢已上架</t>
        </is>
      </c>
      <c r="K160" t="inlineStr">
        <is>
          <t>硬壳纸</t>
        </is>
      </c>
      <c r="L160" t="inlineStr">
        <is>
          <t>本</t>
        </is>
      </c>
      <c r="M160"/>
      <c r="N160" t="inlineStr">
        <is>
          <t>整本：105
页码：102</t>
        </is>
      </c>
      <c r="O160" t="inlineStr">
        <is>
          <t>192g</t>
        </is>
      </c>
      <c r="P160"/>
      <c r="Q160"/>
      <c r="R160" t="inlineStr">
        <is>
          <t>1、养生 + 成长双主题：将传统二十四节气养生智慧与个人成长记录完美结合/
2、内容丰富实用：包含节气气候特征、养生总则、饮食食谱、生活小贴士
3、互动性强：可写可画可记录，设有 "我的节气小记"、"每日心情" 等专属板块
4、治愈系设计：清新国风手绘插画，温柔治愈的文字风格
5、静阳老师专属：静阳老师亲笔撰写寄语，陪伴式成长体验</t>
        </is>
      </c>
      <c r="S160" t="inlineStr">
        <is>
          <t>静阳老师倾心打造的二十四节气养生手帐，一本兼具实用养生知识与治愈系成长记录的宝藏手账本
融合中国传统二十四节气文化，让您在四季更迭中感受自然之美。精美的装帧设计，丰富的内页布局，既有节气知识科普，又有充足的书写空间。无论是记录生活点滴、规划目标，还是抒发感悟，都是您的理想之选</t>
        </is>
      </c>
      <c r="T160" t="inlineStr">
        <is>
          <t>1、节气养生学习：每个节气开始前，阅读对应的养生知识和饮食建议，提前做好养生规划
2、日常记录：在 "我的节气小记" 板块记录当天的饮食、运动、睡眠情况和身体感受
3、心情打卡：用贴纸或手绘的方式记录每日心情，追踪情绪变化
4、目标设定：在年初和每个季节开始时，写下自己的成长目标和心愿
5、自由创作：利用空白页面进行手绘、拼贴、摘抄等创意活动</t>
        </is>
      </c>
      <c r="U160"/>
      <c r="V160"/>
      <c r="W160"/>
      <c r="X160" t="inlineStr">
        <is>
          <t>二十四节气手帐.xlsx</t>
        </is>
      </c>
      <c r="Y160" t="inlineStr">
        <is>
          <t>9818好物家居群</t>
        </is>
      </c>
      <c r="Z160"/>
      <c r="AA160"/>
    </row>
    <row r="161" ht="25.5" customHeight="1">
      <c r="A161">
        <v>552</v>
      </c>
      <c r="B161" t="inlineStr">
        <is>
          <t>负重软胶手环</t>
        </is>
      </c>
      <c r="C161" t="inlineStr">
        <is>
          <t>800.jpg,5.jpg</t>
        </is>
      </c>
      <c r="D161">
        <v>39.9</v>
      </c>
      <c r="E161" s="2" t="str">
        <f>=HYPERLINK("https://haohuo.jinritemai.com/ecommerce/trade/detail/index.html?id=3825177646719959364&amp;origin_type=604", "速力达")</f>
        <v>速力达</v>
      </c>
      <c r="F161" t="inlineStr">
        <is>
          <t>https://haohuo.jinritemai.com/ecommerce/trade/detail/index.html?id=3825177646719959364&amp;origin_type=604</t>
        </is>
      </c>
      <c r="G161" s="2" t="str">
        <f>=HYPERLINK("https://haohuo.jinritemai.com/ecommerce/trade/detail/index.html?id=3825204507235713426&amp;origin_type=604", "速力达")</f>
        <v>速力达</v>
      </c>
      <c r="H161" t="inlineStr">
        <is>
          <t>https://haohuo.jinritemai.com/ecommerce/trade/detail/index.html?id=3825204507235713426&amp;origin_type=604</t>
        </is>
      </c>
      <c r="I161"/>
      <c r="J161" t="inlineStr">
        <is>
          <t>🟢已上架</t>
        </is>
      </c>
      <c r="K161" t="inlineStr">
        <is>
          <t>TPE软胶, 电镀铁芯</t>
        </is>
      </c>
      <c r="L161" t="inlineStr">
        <is>
          <t>1磅, 2磅, 粉色, 灰色</t>
        </is>
      </c>
      <c r="M161"/>
      <c r="N161" t="inlineStr">
        <is>
          <t>可调节周长：15-28cm</t>
        </is>
      </c>
      <c r="O161" t="inlineStr">
        <is>
          <t>≈1kg</t>
        </is>
      </c>
      <c r="P161"/>
      <c r="Q161"/>
      <c r="R161" t="inlineStr">
        <is>
          <t>1、隐形燃脂塑形：穿戴隐形不突兀，日常通勤、运动都能戴，不知不觉增加消耗，辅助塑形燃脂
2、负重自由可调：支持多档位配重增减，从健身小白到进阶训练者都能适配，满足不同强度需求
3、高强度不掉落：升级加固魔术贴 + 贴合人体曲线设计，跑步、跳跃、瑜伽等高强度运动不滑落
4、软胶亲肤无味：食品级软胶材质，触感细腻不磨皮肤，无异味不过敏，久戴舒适</t>
        </is>
      </c>
      <c r="S161" t="inlineStr">
        <is>
          <t>采用食品级软胶材质，亲肤无异味，戴久了也不磨皮肤、不闷汗。多档位可调节负重，新手入门无压力，进阶训练也能满足。升级加固魔术贴 + 人体工学贴合设计，手脚通用的万能设计
戴手腕练上肢力量，绑脚踝练下肢线条，一套搞定全身塑形。体积小巧轻便，放包里随身携带，手脚通用一物两用，省钱又省心！</t>
        </is>
      </c>
      <c r="T161" t="inlineStr">
        <is>
          <t>1️⃣ 选择负重 ：新手选1磅，进阶选2磅
 2️⃣ 套入位置 ：手腕或脚踝，调整至舒适位置
 3️⃣ 开始运动 ：跑步、瑜伽、跳绳都能用
 4️⃣ 感受效果 ：同样的动作，消耗热量更多
 5️⃣ 运动结束 ：取下清洗，晾干收纳</t>
        </is>
      </c>
      <c r="U161"/>
      <c r="V161"/>
      <c r="W161"/>
      <c r="X161" t="inlineStr">
        <is>
          <t>负重软胶手环.xlsx</t>
        </is>
      </c>
      <c r="Y161" t="inlineStr">
        <is>
          <t>普拉提圈方形.59指压板26轮知文</t>
        </is>
      </c>
      <c r="Z161"/>
      <c r="AA161"/>
    </row>
    <row r="162" ht="25.5" customHeight="1">
      <c r="A162">
        <v>560</v>
      </c>
      <c r="B162" t="inlineStr">
        <is>
          <t>黄精丸</t>
        </is>
      </c>
      <c r="C162" t="inlineStr">
        <is>
          <t>604edb431839bc3215b7ced0e7f73554.jpg,1.png,2.png</t>
        </is>
      </c>
      <c r="D162">
        <v>29.9</v>
      </c>
      <c r="E162" s="2" t="str">
        <f>=HYPERLINK("https://haohuo.jinritemai.com/ecommerce/trade/detail/index.html?id=3825041538988245018&amp;origin_type=604", "速力达")</f>
        <v>速力达</v>
      </c>
      <c r="F162" t="inlineStr">
        <is>
          <t>https://haohuo.jinritemai.com/ecommerce/trade/detail/index.html?id=3825041538988245018&amp;origin_type=604</t>
        </is>
      </c>
      <c r="G162" s="2" t="str">
        <f>=HYPERLINK("https://haohuo.jinritemai.com/ecommerce/trade/detail/index.html?id=3825039711479660959&amp;origin_type=604", "速力达")</f>
        <v>速力达</v>
      </c>
      <c r="H162" t="inlineStr">
        <is>
          <t>https://haohuo.jinritemai.com/ecommerce/trade/detail/index.html?id=3825039711479660959&amp;origin_type=604</t>
        </is>
      </c>
      <c r="I162" t="inlineStr">
        <is>
          <t>DY-速力达优品, SPH-锦川优品</t>
        </is>
      </c>
      <c r="J162" t="inlineStr">
        <is>
          <t>🟢已上架</t>
        </is>
      </c>
      <c r="K162" t="inlineStr">
        <is>
          <t>黑米、黑芝麻、蜂蜜、黄精</t>
        </is>
      </c>
      <c r="L162" t="inlineStr">
        <is>
          <t>袋</t>
        </is>
      </c>
      <c r="M162"/>
      <c r="N162" t="inlineStr">
        <is>
          <t>12个月</t>
        </is>
      </c>
      <c r="O162" t="inlineStr">
        <is>
          <t>144g
（9g*16颗单独包装）</t>
        </is>
      </c>
      <c r="P162"/>
      <c r="Q162"/>
      <c r="R162" t="inlineStr">
        <is>
          <t>1.原料用心选材，挑选肉质饱满的原生黄精，自然生长不催熟，原料底子扎实
2.遵循传统九蒸九晒工艺，经柴火反复慢蒸、自然光晾晒多道工序，制作工序繁琐考究
3.手工制丸工艺，经过蒸晒处理后风味更浓郁，入口口感温润顺口
单颗独立小包装，干净卫生，取用方便，外出随身也便于携带，不易受潮粘连
坚持真材实料制作，用料透明实在，日常食用更放心</t>
        </is>
      </c>
      <c r="S162" t="inlineStr">
        <is>
          <t>汉方百膳记黄精丸属于复合食材圆制品，甄选道地黄精作为主要原料，遵循传统九蒸九晒工艺手工制作而成，用料扎实考究，传承传统炮制思路，可作为日常休闲食补小食，丰富日常食材摄入种类。</t>
        </is>
      </c>
      <c r="T162" t="inlineStr">
        <is>
          <t>可直接嚼食、温水送服或碾碎泡水饮用</t>
        </is>
      </c>
      <c r="U162"/>
      <c r="V162"/>
      <c r="W162" t="inlineStr">
        <is>
          <t>黄精丸.pdf</t>
        </is>
      </c>
      <c r="X162" t="inlineStr">
        <is>
          <t>黄精丸.xlsx</t>
        </is>
      </c>
      <c r="Y162" t="inlineStr">
        <is>
          <t>黄精丸代发对接群</t>
        </is>
      </c>
      <c r="Z162"/>
      <c r="AA162"/>
    </row>
    <row r="163" ht="25.5" customHeight="1">
      <c r="A163">
        <v>561</v>
      </c>
      <c r="B163" t="inlineStr">
        <is>
          <t>黑八宝</t>
        </is>
      </c>
      <c r="C163" t="inlineStr">
        <is>
          <t>b5c35c87d0ddec3afa9d2e6eaab8f858.jpg,主图5.jpg,主图1.jpg</t>
        </is>
      </c>
      <c r="D163">
        <v>19.9</v>
      </c>
      <c r="E163" s="2" t="str">
        <f>=HYPERLINK("https://haohuo.jinritemai.com/ecommerce/trade/detail/index.html?id=3825553016115822833&amp;origin_type=604", "速力达")</f>
        <v>速力达</v>
      </c>
      <c r="F163" t="inlineStr">
        <is>
          <t>https://haohuo.jinritemai.com/ecommerce/trade/detail/index.html?id=3825553016115822833&amp;origin_type=604</t>
        </is>
      </c>
      <c r="G163" s="2" t="str">
        <f>=HYPERLINK("https://haohuo.jinritemai.com/ecommerce/trade/detail/index.html?id=3825549754054607225&amp;origin_type=604", "速力达")</f>
        <v>速力达</v>
      </c>
      <c r="H163" t="inlineStr">
        <is>
          <t>https://haohuo.jinritemai.com/ecommerce/trade/detail/index.html?id=3825549754054607225&amp;origin_type=604</t>
        </is>
      </c>
      <c r="I163"/>
      <c r="J163" t="inlineStr">
        <is>
          <t>🟢已上架</t>
        </is>
      </c>
      <c r="K163" t="inlineStr">
        <is>
          <t>黑豆、黑米、黑芝麻、黑桑葚、黑枸杞、黑藜麦米、奇亚籽、黑木耳</t>
        </is>
      </c>
      <c r="L163" t="inlineStr">
        <is>
          <t>盒</t>
        </is>
      </c>
      <c r="M163"/>
      <c r="N163" t="inlineStr">
        <is>
          <t>12个月</t>
        </is>
      </c>
      <c r="O163" t="inlineStr">
        <is>
          <t>300g
(25克X12袋)</t>
        </is>
      </c>
      <c r="P163" t="inlineStr">
        <is>
          <t>黑豆粉≥30%黑米粉≥28%黑芝麻≥6% 剩余是其他</t>
        </is>
      </c>
      <c r="Q163"/>
      <c r="R163" t="inlineStr">
        <is>
          <t>1.八种食材科学搭配，食材品类丰富，对比单一谷物粉，日常摄入食材更多样
2.单份热量适中，饱腹感良好，用作代餐，热量负担更低
3.每条 25g 独立分装，用量精准，方便随身携带，密封包装不易受潮结块
4.冲泡步骤简单省时，居家、办公室、外出出行都可以随时冲泡饮用
5.配方干净，无多余额外添加，保留食材本身风味，日常饮用更放心</t>
        </is>
      </c>
      <c r="S163" t="inlineStr">
        <is>
          <t>选用黑芝麻、黑桑葚、奇亚籽、黑木耳、黑豆、黑米、黑藜麦、黑枸杞八种黑色食材搭配研磨制成，采用独立条状分装，冲泡简单，热量适中，可作为早餐、加餐、代餐类谷物冲饮，丰富日常饮食选择，配料搭配简洁干净，适合日常长期食用。</t>
        </is>
      </c>
      <c r="T163" t="inlineStr">
        <is>
          <t>1.取一袋粉末倒入杯中
2.倒入约 180 毫升 60-80℃温水
3.充分搅拌至粉末化开无结块，即可饮用</t>
        </is>
      </c>
      <c r="U163" t="inlineStr">
        <is>
          <t>image.png</t>
        </is>
      </c>
      <c r="V163"/>
      <c r="W163" t="inlineStr">
        <is>
          <t>4a0d12a1ed93a7b403adddca1fa54874.jpg</t>
        </is>
      </c>
      <c r="X163" t="inlineStr">
        <is>
          <t>黑八宝.xlsx</t>
        </is>
      </c>
      <c r="Y163" t="inlineStr">
        <is>
          <t>久诺-钰-工厂代发群</t>
        </is>
      </c>
      <c r="Z163"/>
      <c r="AA163"/>
    </row>
    <row r="164" ht="25.5" customHeight="1">
      <c r="A164">
        <v>562</v>
      </c>
      <c r="B164" t="inlineStr">
        <is>
          <t>艾草草本足浴包</t>
        </is>
      </c>
      <c r="C164" t="inlineStr">
        <is>
          <t>5.jpg,确定版静阳.png</t>
        </is>
      </c>
      <c r="D164">
        <v>59.9</v>
      </c>
      <c r="E164" s="2" t="str">
        <f>=HYPERLINK("https://haohuo.jinritemai.com/ecommerce/trade/detail/index.html?id=3825540622895415899&amp;origin_type=604", "尚悦")</f>
        <v>尚悦</v>
      </c>
      <c r="F164" t="inlineStr">
        <is>
          <t>https://haohuo.jinritemai.com/ecommerce/trade/detail/index.html?id=3825540622895415899&amp;origin_type=604</t>
        </is>
      </c>
      <c r="G164" s="2"/>
      <c r="H164"/>
      <c r="I164"/>
      <c r="J164" t="inlineStr">
        <is>
          <t>🟢已上架</t>
        </is>
      </c>
      <c r="K164" t="inlineStr">
        <is>
          <t>艾草</t>
        </is>
      </c>
      <c r="L164" t="inlineStr">
        <is>
          <t>袋</t>
        </is>
      </c>
      <c r="M164"/>
      <c r="N164" t="inlineStr">
        <is>
          <t>3年</t>
        </is>
      </c>
      <c r="O164" t="inlineStr">
        <is>
          <t>200g（10包）</t>
        </is>
      </c>
      <c r="P164"/>
      <c r="Q164"/>
      <c r="R164" t="inlineStr">
        <is>
          <t>1、道地真材实料：甄选南阳优质宛艾，搭配红花、玫瑰组合配方，整片大叶原叶用料，无杆无杂质、不打粉，陈艾晾晒处理，质地温润纯粹，用料真实看得见。
2、全家安心适用：原料温和亲肤，适配产后日常养护、孩童泡澡、成人日常泡脚、长辈居家养护，全年龄段全家通用，使用安心无负担。
3、温润舒缓养护：日常温水泡浴，可舒缓身体劳累、放松紧绷身心，舒缓肌肤不适，长期使用温润养护体态气色，提升居家舒适体验。
4、便捷免煮好操作：独立无纺布干净小包，密封锁鲜卫生便携，热水浸泡即可出汤，无需熬煮，泡后无残留杂质，清洗打理十分省心。</t>
        </is>
      </c>
      <c r="S164" t="inlineStr">
        <is>
          <t>甄选南阳优质宛艾，搭配红花、平阴玫瑰，整片艾叶无杆不打粉，用料实在。独立无纺布小包，热水浸泡即可使用，宝妈、孩童、全家都适用，舒缓身体疲惫，温润日常养护，居家泡脚使用便捷。</t>
        </is>
      </c>
      <c r="T164" t="inlineStr">
        <is>
          <t>1、将足浴包放入桶内
 2、桶中加水浸泡 3 分钟
 3、桶中加水调至 45℃，体感微烫适宜
 4、水量没过脚踝关节，泡足适宜时间为 20-30 分钟</t>
        </is>
      </c>
      <c r="U164" t="inlineStr">
        <is>
          <t>15.jpg</t>
        </is>
      </c>
      <c r="V164"/>
      <c r="W164"/>
      <c r="X164" t="inlineStr">
        <is>
          <t>艾草草本足浴包.xlsx</t>
        </is>
      </c>
      <c r="Y164" t="inlineStr">
        <is>
          <t>艾以盈-艾草包/艾元丹沟通群</t>
        </is>
      </c>
      <c r="Z164"/>
      <c r="AA164"/>
    </row>
    <row r="165" ht="25.5" customHeight="1">
      <c r="A165">
        <v>563</v>
      </c>
      <c r="B165" t="inlineStr">
        <is>
          <t>食养杂粮粥</t>
        </is>
      </c>
      <c r="C165" t="inlineStr">
        <is>
          <t>03乌发粥011803R.jpg,9ffe98f182c00e2394c6159a1b973f29.jpg</t>
        </is>
      </c>
      <c r="D165">
        <v>39.9</v>
      </c>
      <c r="E165" s="2" t="str">
        <f>=HYPERLINK("https://haohuo.jinritemai.com/ecommerce/trade/detail/index.html?id=3825966387357155763&amp;origin_type=604", "速力达")</f>
        <v>速力达</v>
      </c>
      <c r="F165" t="inlineStr">
        <is>
          <t>https://haohuo.jinritemai.com/ecommerce/trade/detail/index.html?id=3825966387357155763&amp;origin_type=604</t>
        </is>
      </c>
      <c r="G165" s="2"/>
      <c r="H165"/>
      <c r="I165"/>
      <c r="J165" t="inlineStr">
        <is>
          <t>待定</t>
        </is>
      </c>
      <c r="K165"/>
      <c r="L165" t="inlineStr">
        <is>
          <t>袋</t>
        </is>
      </c>
      <c r="M165"/>
      <c r="N165" t="inlineStr">
        <is>
          <t>240天</t>
        </is>
      </c>
      <c r="O165" t="inlineStr">
        <is>
          <t>100g</t>
        </is>
      </c>
      <c r="P165"/>
      <c r="Q165"/>
      <c r="R165" t="inlineStr">
        <is>
          <t>1：专业配比：资深医师参考传统食养思路组方，从业多年持证营养师优化搭配，五谷组合配比
2：多元谷物搭配：包含红豆、黑米、薏米、红米等多种粗粮，不同配比满足日常多样化杂粮饮食需求
3：操作便捷：预先配比独立小袋，不用称量搭配，淘洗加水，电饭煲一键煮粥，早餐省心
</t>
        </is>
      </c>
      <c r="S165" t="inlineStr">
        <is>
          <t>本款食养杂粮粥全网热销超 1.93 亿包，由专业医师参考传统食养思路搭配研发；独立分装无需自行配比，清洗后即可烹煮。原料经过 242 项农残检测，有品牌质量承保，适配日常三餐食用，兼顾多样谷物营养，售后政策完善，全家日常食补杂粮优选。
</t>
        </is>
      </c>
      <c r="T165" t="inlineStr">
        <is>
          <t>1.取 1 袋杂粮原料，全部倒入电饭煲内
2.简单淘洗干净，加入约 700ml 清水
3.启动电饭煲煮粥模式，等待程序完成即可食用</t>
        </is>
      </c>
      <c r="U165" t="inlineStr">
        <is>
          <t>中药粥2_03.jpg</t>
        </is>
      </c>
      <c r="V165"/>
      <c r="W165"/>
      <c r="X165"/>
      <c r="Y165" t="inlineStr">
        <is>
          <t>孙老师-五谷杂粮粥</t>
        </is>
      </c>
      <c r="Z165"/>
      <c r="AA165"/>
    </row>
    <row r="166" ht="25.5" customHeight="1">
      <c r="A166">
        <v>564</v>
      </c>
      <c r="B166" t="inlineStr">
        <is>
          <t>棉花袜</t>
        </is>
      </c>
      <c r="C166" t="inlineStr">
        <is>
          <t>500762754a3cf88cf153cb9d900b1f89.jpg,3.jpg</t>
        </is>
      </c>
      <c r="D166">
        <v>59.9</v>
      </c>
      <c r="E166" s="2" t="str">
        <f>=HYPERLINK("https://haohuo.jinritemai.com/ecommerce/trade/detail/index.html?id=3826133055526011040&amp;origin_type=604", "速力达")</f>
        <v>速力达</v>
      </c>
      <c r="F166" t="inlineStr">
        <is>
          <t>https://haohuo.jinritemai.com/ecommerce/trade/detail/index.html?id=3826133055526011040&amp;origin_type=604</t>
        </is>
      </c>
      <c r="G166" s="2"/>
      <c r="H166"/>
      <c r="I166" t="inlineStr">
        <is>
          <t>DY-速力达优品, SPH-锦川优品, XHS-坦彦商贸</t>
        </is>
      </c>
      <c r="J166" t="inlineStr">
        <is>
          <t>🔴预售中</t>
        </is>
      </c>
      <c r="K166" t="inlineStr">
        <is>
          <t>95%棉, 5%氨纶</t>
        </is>
      </c>
      <c r="L166" t="inlineStr">
        <is>
          <t>双, 灰色</t>
        </is>
      </c>
      <c r="M166"/>
      <c r="N166" t="inlineStr">
        <is>
          <t>35-36 37-38 39-40 41-42 43-44</t>
        </is>
      </c>
      <c r="O166"/>
      <c r="P166" t="inlineStr">
        <is>
          <t>十五天内不影响二次销售且吊牌未拆可退；
</t>
        </is>
      </c>
      <c r="Q166"/>
      <c r="R166" t="inlineStr">
        <is>
          <t>1.内部填充新疆棉花，天然棉料柔软亲肤
2.棉花采用整张棉花胎+千层铺棉工艺
3.宽松罗纹袜口，久穿不勒腿
4.暖脚驱寒，遵循足暖养生，护脚助眠
5.多场景适用：睡觉、卧床休养、孕期防寒、空调房护脚</t>
        </is>
      </c>
      <c r="S166" t="inlineStr">
        <is>
          <t>棉花采用整张棉花胎+千层铺棉工艺，并搭配袜子内里，细密定点绗缝工艺加固棉花，宽松束口不勒脚踝，锁温透气不闷脚。睡觉脚凉，孕期、体寒、腿脚休养、空调房都能穿。
</t>
        </is>
      </c>
      <c r="T166" t="inlineStr">
        <is>
          <t>睡前洗净双脚直接穿至脚踝，整夜睡觉保暖；居家怕冷、卧床休养也可日常穿戴。</t>
        </is>
      </c>
      <c r="U166"/>
      <c r="V166"/>
      <c r="W166"/>
      <c r="X166" t="inlineStr">
        <is>
          <t>棉花袜.xlsx</t>
        </is>
      </c>
      <c r="Y166" t="inlineStr">
        <is>
          <t>新疆长绒棉袜子</t>
        </is>
      </c>
      <c r="Z166"/>
      <c r="AA166"/>
    </row>
    <row r="167" ht="25.5" customHeight="1">
      <c r="A167">
        <v>567</v>
      </c>
      <c r="B167" t="inlineStr">
        <is>
          <t>艾元丹</t>
        </is>
      </c>
      <c r="C167" t="inlineStr">
        <is>
          <t>1.jpg,5.png</t>
        </is>
      </c>
      <c r="D167">
        <v>39.9</v>
      </c>
      <c r="E167" s="2" t="str">
        <f>=HYPERLINK("https://haohuo.jinritemai.com/ecommerce/trade/detail/index.html?id=3826327115100455240&amp;origin_type=604", "速力达")</f>
        <v>速力达</v>
      </c>
      <c r="F167" t="inlineStr">
        <is>
          <t>https://haohuo.jinritemai.com/ecommerce/trade/detail/index.html?id=3826327115100455240&amp;origin_type=604</t>
        </is>
      </c>
      <c r="G167" s="2"/>
      <c r="H167"/>
      <c r="I167" t="inlineStr">
        <is>
          <t>DY-速力达优品, DY-海智动养优品, SPH-原物集</t>
        </is>
      </c>
      <c r="J167" t="inlineStr">
        <is>
          <t>🟢已上架</t>
        </is>
      </c>
      <c r="K167" t="inlineStr">
        <is>
          <t>艾绒，花椒，桂圆</t>
        </is>
      </c>
      <c r="L167" t="inlineStr">
        <is>
          <t>30贴➕30丸</t>
        </is>
      </c>
      <c r="M167"/>
      <c r="N167" t="inlineStr">
        <is>
          <t>两年</t>
        </is>
      </c>
      <c r="O167"/>
      <c r="P167"/>
      <c r="Q167"/>
      <c r="R167" t="inlineStr">
        <is>
          <t>1.经典草本配比：甄选艾绒、花椒、桂圆三种原生原料，原料清晰可见，用料实在，配比考究
2.看得见的原料质感：丸体掰开内含金丝艾绒，气味自然浓郁，原料本味明显
3.便捷外用设计：独立丸贴搭配胶布，操作简单，随身可用，夜间使用更省心
4.两种贴敷选择：可贴肚脐，也可贴足底，适配不同使用习惯
5.选材扎实：原料经过筛选处理，配方干净无额外多余添加，传统草本搭配思路</t>
        </is>
      </c>
      <c r="S167" t="inlineStr">
        <is>
          <t>本品为艾绒、花椒、桂圆搭配制成的外用草本丸贴，采用传统搭配思路，原料选材细致，丸体质感紧实。搭配透气胶布，使用简单便捷，可作为日常外用草本护理小用品，满足日常居家外用使用需求。
</t>
        </is>
      </c>
      <c r="T167" t="inlineStr">
        <is>
          <t>1.取出一粒丸体，肚脐眼偏深可直接放置；肚脐偏浅可先捏扁药丸再放入
2.将药丸放置在胶布中心位置
3.对准肚脐位置贴平整，建议晚间贴敷、次日晨起撕下即可</t>
        </is>
      </c>
      <c r="U167"/>
      <c r="V167"/>
      <c r="W167"/>
      <c r="X167" t="inlineStr">
        <is>
          <t>悬垂腹瑜伽球.xlsx</t>
        </is>
      </c>
      <c r="Y167"/>
      <c r="Z167"/>
      <c r="AA167"/>
    </row>
    <row r="168" ht="25.5" customHeight="1">
      <c r="A168">
        <v>585</v>
      </c>
      <c r="B168" t="inlineStr">
        <is>
          <t>分段式瑜伽带</t>
        </is>
      </c>
      <c r="C168" t="inlineStr">
        <is>
          <t>主图01.jpg,主图02.png</t>
        </is>
      </c>
      <c r="D168">
        <v>29.9</v>
      </c>
      <c r="E168" s="2"/>
      <c r="F168"/>
      <c r="G168" s="2"/>
      <c r="H168"/>
      <c r="I168" t="inlineStr">
        <is>
          <t>SPH-锦川优品, XHS-坦彦商贸, KS-元气工厂, DY-速力达优品, XHS-栖朵朵</t>
        </is>
      </c>
      <c r="J168" t="inlineStr">
        <is>
          <t>🟢已上架</t>
        </is>
      </c>
      <c r="K168" t="inlineStr">
        <is>
          <t>棉纶材质</t>
        </is>
      </c>
      <c r="L168" t="inlineStr">
        <is>
          <t>红色, 蓝色</t>
        </is>
      </c>
      <c r="M168"/>
      <c r="N168" t="inlineStr">
        <is>
          <t>【10格】
长103.5cm宽3.8c高0.1cm</t>
        </is>
      </c>
      <c r="O168" t="inlineStr">
        <is>
          <t>71g</t>
        </is>
      </c>
      <c r="P168"/>
      <c r="Q168"/>
      <c r="R168" t="inlineStr">
        <is>
          <t>10档分段可调：分段式卡扣设计，10个档位自由调节长度与阻力，适配不同身高、不同训练阶段，从入门到进阶全覆盖
双倍高弹抗阻：高弹混纺材质回弹力强劲稳定，有效提供抗阻训练强度，助力开肩美背、塑形拉伸、体态矫正
多场景全功能：可用于瑜伽辅助、普拉提训练、肩背拉伸、手臂塑形、臀腿训练、康复拉伸等，一绳满足全身训练需求
稳固不打滑：卡扣式分段设计相比普通弹力带固定更牢，训练时不滑移不跑位，动作发力更精准
亲肤不勒肉：宽幅织带设计，分散皮肤压力，训练时不勒肩不勒手，久用舒适
轻便易收纳：整体轻盈小巧，折叠后可揣入口袋或包中，居家、办公室、出差、健身房都能随时使用</t>
        </is>
      </c>
      <c r="S168" t="inlineStr">
        <is>
          <t>自由调节长度与阻力，不管是健身新手还是运动达人，都能找到适合自己的训练强度。回弹力强劲稳定，宽幅织带亲肤不勒肉，一绳搞定全身抗阻训练与拉伸放松。折叠就能放进包里，办公室午休、居家追剧、出差旅行，随时随地都能练，轻松改善体态，打造优美线条。</t>
        </is>
      </c>
      <c r="T168" t="inlineStr">
        <is>
          <t>开肩拉伸：双手握住弹力带两端，举过头顶缓慢向身后拉伸，保持 15-30 秒后复位，重复 5-8 组，改善圆肩
背部塑形：将弹力带绕过后背，双手握住两端向前发力拉拽，感受背部肌肉收缩，每组 15 次，完成 4 组，紧致背线
手臂训练：双脚踩住弹力带中段，双手握拳向上做弯举动作，锻炼手臂线条，每组 20 次，完成 3 组
臀腿训练：将弹力带固定在脚踝处，进行侧抬腿、后抬腿动作，激活臀腿肌群</t>
        </is>
      </c>
      <c r="U168"/>
      <c r="V168"/>
      <c r="W168"/>
      <c r="X168" t="inlineStr">
        <is>
          <t>分段式瑜伽带.xlsx</t>
        </is>
      </c>
      <c r="Y168" t="inlineStr">
        <is>
          <t>致佳工贸-B656-抖音-孙分段式瑜伽球弹</t>
        </is>
      </c>
      <c r="Z168"/>
      <c r="AA168"/>
    </row>
    <row r="169" ht="25.5" customHeight="1">
      <c r="A169">
        <v>607</v>
      </c>
      <c r="B169" t="inlineStr">
        <is>
          <t>乌发粥</t>
        </is>
      </c>
      <c r="C169" t="inlineStr">
        <is>
          <t>微信图片_2026-06-23_153423_853.jpg</t>
        </is>
      </c>
      <c r="D169">
        <v>39.9</v>
      </c>
      <c r="E169" s="2"/>
      <c r="F169"/>
      <c r="G169" s="2"/>
      <c r="H169"/>
      <c r="I169"/>
      <c r="J169" t="inlineStr">
        <is>
          <t>待定</t>
        </is>
      </c>
      <c r="K169" t="inlineStr">
        <is>
          <t>黑米, 黑豆, 黑芝麻, 黑麦仁, 黑小米, 黑花生</t>
        </is>
      </c>
      <c r="L169" t="inlineStr">
        <is>
          <t>袋</t>
        </is>
      </c>
      <c r="M169"/>
      <c r="N169" t="inlineStr">
        <is>
          <t>240天</t>
        </is>
      </c>
      <c r="O169" t="inlineStr">
        <is>
          <t>100g</t>
        </is>
      </c>
      <c r="P169"/>
      <c r="Q169"/>
      <c r="R169" t="inlineStr">
        <is>
          <t>1.药食同源食材，纯粹谷物无杂添加，不含香精、色素、蔗糖，钠含量 0mg，清淡无负担，控糖、中老年人群均可食用。                       2.黑色入肾食补，日常长期食用，温和滋养发根，改善熬夜、压力大、气血不足带来的白发增多、发质干枯细软问题。                           3.储存友好：常温密封防潮存放，拆封后冷藏锁鲜，240 天长保质期，不易变质、油脂不哈喇。</t>
        </is>
      </c>
      <c r="S169" t="inlineStr">
        <is>
          <t>这款乌发粥为六黑谷物食补餐，精选黑米、黑豆、黑麦仁、黑小米、黑花生、黑芝麻六种黑色杂粮科学配比，依托药食同源食补思路打造，专为日常养发内调设计。</t>
        </is>
      </c>
      <c r="T169" t="inlineStr">
        <is>
          <t>1.取 1 袋杂粮原料，全部倒入电饭煲内
2.简单淘洗干净，加入约 700ml 清水
3.启动电饭煲煮粥模式，等待程序完成即可食用</t>
        </is>
      </c>
      <c r="U169" t="inlineStr">
        <is>
          <t>微信图片_2026-06-23_153423_853.jpg</t>
        </is>
      </c>
      <c r="V169"/>
      <c r="W169"/>
      <c r="X169" t="inlineStr">
        <is>
          <t>乌发粥.xlsx</t>
        </is>
      </c>
      <c r="Y169" t="inlineStr">
        <is>
          <t>孙老师-五谷杂粮粥</t>
        </is>
      </c>
      <c r="Z169" t="inlineStr">
        <is>
          <t>563</t>
        </is>
      </c>
      <c r="AA169"/>
    </row>
    <row r="170" ht="25.5" customHeight="1">
      <c r="A170">
        <v>608</v>
      </c>
      <c r="B170" t="inlineStr">
        <is>
          <t>气血粥</t>
        </is>
      </c>
      <c r="C170" t="inlineStr">
        <is>
          <t>微信图片_2026-06-23_155303_734.jpg</t>
        </is>
      </c>
      <c r="D170">
        <v>39.9</v>
      </c>
      <c r="E170" s="2"/>
      <c r="F170"/>
      <c r="G170" s="2"/>
      <c r="H170"/>
      <c r="I170"/>
      <c r="J170" t="inlineStr">
        <is>
          <t>待定</t>
        </is>
      </c>
      <c r="K170" t="inlineStr">
        <is>
          <t>红米, 血糯米, 赤小豆, 红皮花生, 红枣</t>
        </is>
      </c>
      <c r="L170" t="inlineStr">
        <is>
          <t>袋</t>
        </is>
      </c>
      <c r="M170"/>
      <c r="N170" t="inlineStr">
        <is>
          <t>240天</t>
        </is>
      </c>
      <c r="O170" t="inlineStr">
        <is>
          <t>100g</t>
        </is>
      </c>
      <c r="P170"/>
      <c r="Q170"/>
      <c r="R170" t="inlineStr">
        <is>
          <t>1.五红同源经典食补配方红米 + 血糯米 + 赤小豆 + 红皮花生 + 红枣五种红色食材科学搭配，传承传统五红食补思路，红色食材富含铁元素、花青素、多种维生素，日常温和滋养。                                      2.长期日常食用，适合气血不足人群，改善面色发黄、手脚冰凉、经期乏力、产后体虚、熬夜气色差等问题，食疗温和不伤身。              3.河南开封源头工厂生产，拥有 SC 食品生产许可、企业执行标准，产地可溯源，品质稳定有保障。</t>
        </is>
      </c>
      <c r="S170" t="inlineStr">
        <is>
          <t>传统红色食材搭配现代标准化加工，配方性质温和，长期食用可舒缓气血不足带来的面色发黄、手脚冰凉、体虚乏力、经期虚弱等情况，粗粮膳食纤维还能帮助肠道通畅。</t>
        </is>
      </c>
      <c r="T170" t="inlineStr">
        <is>
          <t>1.取 1 袋杂粮原料，全部倒入电饭煲内
2.简单淘洗干净，加入约 700ml 清水
3.启动电饭煲煮粥模式，等待程序完成即可食用</t>
        </is>
      </c>
      <c r="U170" t="inlineStr">
        <is>
          <t>微信图片_2026-06-23_155303_734.jpg</t>
        </is>
      </c>
      <c r="V170"/>
      <c r="W170"/>
      <c r="X170" t="inlineStr">
        <is>
          <t>气血粥.xlsx</t>
        </is>
      </c>
      <c r="Y170" t="inlineStr">
        <is>
          <t>孙老师-五谷杂粮粥</t>
        </is>
      </c>
      <c r="Z170" t="inlineStr">
        <is>
          <t>563</t>
        </is>
      </c>
      <c r="AA170"/>
    </row>
    <row r="171" ht="25.5" customHeight="1">
      <c r="A171">
        <v>609</v>
      </c>
      <c r="B171" t="inlineStr">
        <is>
          <t>离湿粥</t>
        </is>
      </c>
      <c r="C171" t="inlineStr">
        <is>
          <t>微信图片_2026-06-23_155541_501.jpg</t>
        </is>
      </c>
      <c r="D171">
        <v>39.9</v>
      </c>
      <c r="E171" s="2"/>
      <c r="F171"/>
      <c r="G171" s="2"/>
      <c r="H171"/>
      <c r="I171"/>
      <c r="J171" t="inlineStr">
        <is>
          <t>待定</t>
        </is>
      </c>
      <c r="K171" t="inlineStr">
        <is>
          <t>薏米, 红小豆, 大麦仁, 荞麦仁, 燕麦米, 黑豆</t>
        </is>
      </c>
      <c r="L171" t="inlineStr">
        <is>
          <t>袋</t>
        </is>
      </c>
      <c r="M171"/>
      <c r="N171" t="inlineStr">
        <is>
          <t>240天</t>
        </is>
      </c>
      <c r="O171" t="inlineStr">
        <is>
          <t>100g</t>
        </is>
      </c>
      <c r="P171"/>
      <c r="Q171"/>
      <c r="R171" t="inlineStr">
        <is>
          <t>1.配料精选薏米、红小豆、大麦仁、荞麦仁、燕麦米、黑豆，是传统祛湿食疗经典组合，药食同源搭配，性质平和，日常长期食用不寒凉
2.针对体内湿气重人群：身体困重乏力、虚胖水肿、舌苔厚重、大便黏腻、脸上出油长痘、晨起浮肿，日常代餐温和调理，食疗循序渐进。
3.一次一包刚好一人份，不用自行称重搭配，避免杂粮囤放受潮，居家、宿舍、办公室都方便。</t>
        </is>
      </c>
      <c r="S171" t="inlineStr">
        <is>
          <t>针对湿气重带来的身体困乏、虚胖水肿、大便黏腻、面部出油、晨起浮肿等问题，作为早晚代餐温和内调；粗粮纤维还能改善久坐便秘。</t>
        </is>
      </c>
      <c r="T171" t="inlineStr">
        <is>
          <t>1.取 1 袋杂粮原料，全部倒入电饭煲内
2.简单淘洗干净，加入约 700ml 清水
3.启动电饭煲煮粥模式，等待程序完成即可食用</t>
        </is>
      </c>
      <c r="U171" t="inlineStr">
        <is>
          <t>微信图片_2026-06-23_155541_501.jpg</t>
        </is>
      </c>
      <c r="V171"/>
      <c r="W171"/>
      <c r="X171" t="inlineStr">
        <is>
          <t>离湿粥.xlsx</t>
        </is>
      </c>
      <c r="Y171" t="inlineStr">
        <is>
          <t>孙老师-五谷杂粮粥</t>
        </is>
      </c>
      <c r="Z171" t="inlineStr">
        <is>
          <t>563</t>
        </is>
      </c>
      <c r="AA171"/>
    </row>
    <row r="172" ht="25.5" customHeight="1">
      <c r="A172">
        <v>610</v>
      </c>
      <c r="B172" t="inlineStr">
        <is>
          <t>脾胃粥</t>
        </is>
      </c>
      <c r="C172" t="inlineStr">
        <is>
          <t>微信图片_2026-06-23_160545_350.jpg</t>
        </is>
      </c>
      <c r="D172">
        <v>39.9</v>
      </c>
      <c r="E172" s="2"/>
      <c r="F172"/>
      <c r="G172" s="2"/>
      <c r="H172"/>
      <c r="I172"/>
      <c r="J172" t="inlineStr">
        <is>
          <t>待定</t>
        </is>
      </c>
      <c r="K172" t="inlineStr">
        <is>
          <t>黄小米, 黄玉米碴, 南瓜, 糯米, 红扁豆, 山药</t>
        </is>
      </c>
      <c r="L172" t="inlineStr">
        <is>
          <t>袋</t>
        </is>
      </c>
      <c r="M172"/>
      <c r="N172" t="inlineStr">
        <is>
          <t>240天</t>
        </is>
      </c>
      <c r="O172" t="inlineStr">
        <is>
          <t>100g</t>
        </is>
      </c>
      <c r="P172"/>
      <c r="Q172"/>
      <c r="R172" t="inlineStr">
        <is>
          <t>1.六样温和养脾食材科学搭配，药食同源经典健脾组合。山药 + 红扁豆主打健脾养胃，黄小米、南瓜温润易消化，糯米中和杂粮粗硬，不寒凉不刺激，老人小孩、脾胃虚弱都能长期吃。
2.谷物经过多重人工筛选、冲洗，去除碎渣坏粒；包装少量谷皮碎屑是天然谷物正常成分，无泥沙杂质，食用干净安心。
3.针对脾胃差人群：饭后腹胀、消化不良、胃口差、吃凉易拉肚子、体虚乏力、面色萎黄、积食不消化，温和食补调理，循序渐进养护脾胃。</t>
        </is>
      </c>
      <c r="S172" t="inlineStr">
        <is>
          <t>配方规避寒凉刺激性食材，山药、红扁豆固本健脾，小米、南瓜软糯滋养，兼顾调理与适口性；全部谷物经标准化筛选清洗，无添加蔗糖、香精、防腐剂，低脂低钠，质地温和好消化。</t>
        </is>
      </c>
      <c r="T172" t="inlineStr">
        <is>
          <t>1.取 1 袋杂粮原料，全部倒入电饭煲内
2.简单淘洗干净，加入约 700ml 清水
3.启动电饭煲煮粥模式，等待程序完成即可食用</t>
        </is>
      </c>
      <c r="U172" t="inlineStr">
        <is>
          <t>微信图片_2026-06-23_160545_350.jpg</t>
        </is>
      </c>
      <c r="V172"/>
      <c r="W172"/>
      <c r="X172" t="inlineStr">
        <is>
          <t>脾胃粥 (1).xlsx</t>
        </is>
      </c>
      <c r="Y172" t="inlineStr">
        <is>
          <t>孙老师-五谷杂粮粥</t>
        </is>
      </c>
      <c r="Z172" t="inlineStr">
        <is>
          <t>563</t>
        </is>
      </c>
      <c r="AA172"/>
    </row>
    <row r="173" ht="25.5" customHeight="1">
      <c r="A173">
        <v>611</v>
      </c>
      <c r="B173" t="inlineStr">
        <is>
          <t>清畅粥</t>
        </is>
      </c>
      <c r="C173" t="inlineStr">
        <is>
          <t>微信图片_2026-06-23_160855_822.jpg</t>
        </is>
      </c>
      <c r="D173">
        <v>39.9</v>
      </c>
      <c r="E173" s="2"/>
      <c r="F173"/>
      <c r="G173" s="2"/>
      <c r="H173"/>
      <c r="I173"/>
      <c r="J173" t="inlineStr">
        <is>
          <t>待定</t>
        </is>
      </c>
      <c r="K173" t="inlineStr">
        <is>
          <t>黄小米, 燕麦片, 紫薯</t>
        </is>
      </c>
      <c r="L173" t="inlineStr">
        <is>
          <t>袋</t>
        </is>
      </c>
      <c r="M173"/>
      <c r="N173" t="inlineStr">
        <is>
          <t>240天</t>
        </is>
      </c>
      <c r="O173" t="inlineStr">
        <is>
          <t>100g</t>
        </is>
      </c>
      <c r="P173"/>
      <c r="Q173"/>
      <c r="R173" t="inlineStr">
        <is>
          <t>1.重高纤搭配，润肠清畅组合。配料黄小米 + 燕麦片 + 紫薯，三重富含膳食纤维食材科学配比。燕麦高可溶性纤维、紫薯天然粗纤维、小米温和护肠胃，温和促肠道蠕动，不刺激、不腹痛，适合长期日常调理。
2.不含食盐、蔗糖、香精、色素、防腐剂，依靠紫薯自带天然清甜，控糖、减脂、低盐饮食人群均可放心食用，肠胃代谢无压力。
3.针对久坐上班族、饮食精细、果蔬吃得少、排便不畅、腹胀积食人群，高膳食纤维软化粪便，温和疏通肠道，不会像泻药一样刺激肠胃，食疗循序渐进调理。
4.温润养胃，老少适配。黄小米质地温润中和粗纤维，避免单一燕麦、紫薯寒凉刮胃，老人、儿童、肠胃敏感人群也能长期食用。</t>
        </is>
      </c>
      <c r="S173" t="inlineStr">
        <is>
          <t>三重膳食纤维组合，燕麦可溶性纤维搭配紫薯粗纤维，辅以温润黄小米中和刺激性，温和促进肠道蠕动，改善大便干结、腹部胀气、久坐积食等问题，区别于刺激性通便产品，长期食用不伤肠胃。</t>
        </is>
      </c>
      <c r="T173" t="inlineStr">
        <is>
          <t>1.取 1 袋杂粮原料，全部倒入电饭煲内
2.简单淘洗干净，加入约 700ml 清水
3.启动电饭煲煮粥模式，等待程序完成即可食用</t>
        </is>
      </c>
      <c r="U173" t="inlineStr">
        <is>
          <t>微信图片_2026-06-23_160855_822.jpg</t>
        </is>
      </c>
      <c r="V173"/>
      <c r="W173"/>
      <c r="X173" t="inlineStr">
        <is>
          <t>清畅粥.xlsx</t>
        </is>
      </c>
      <c r="Y173" t="inlineStr">
        <is>
          <t>孙老师-五谷杂粮粥</t>
        </is>
      </c>
      <c r="Z173" t="inlineStr">
        <is>
          <t>563</t>
        </is>
      </c>
      <c r="AA173"/>
    </row>
    <row r="174" ht="25.5" customHeight="1">
      <c r="A174">
        <v>612</v>
      </c>
      <c r="B174" t="inlineStr">
        <is>
          <t>高蛋白粥</t>
        </is>
      </c>
      <c r="C174" t="inlineStr">
        <is>
          <t>微信图片_2026-06-23_160902_733.jpg</t>
        </is>
      </c>
      <c r="D174">
        <v>39.9</v>
      </c>
      <c r="E174" s="2"/>
      <c r="F174"/>
      <c r="G174" s="2"/>
      <c r="H174"/>
      <c r="I174"/>
      <c r="J174" t="inlineStr">
        <is>
          <t>待定</t>
        </is>
      </c>
      <c r="K174" t="inlineStr">
        <is>
          <t>大米, 红米, 红扁豆, 赤小豆, 山药, 红枣</t>
        </is>
      </c>
      <c r="L174" t="inlineStr">
        <is>
          <t>袋</t>
        </is>
      </c>
      <c r="M174"/>
      <c r="N174" t="inlineStr">
        <is>
          <t>240天</t>
        </is>
      </c>
      <c r="O174" t="inlineStr">
        <is>
          <t>100g</t>
        </is>
      </c>
      <c r="P174"/>
      <c r="Q174"/>
      <c r="R174" t="inlineStr">
        <is>
          <t>1.多谷物复合高蛋白搭配。富含优质植物蛋白，搭配红米多重氨基酸，天然食补补充蛋白质，不用额外蛋白粉，日常喝粥就能补足蛋白营养。
2.每 100g 仅 1.2g 脂肪，低脂不油腻；仅含微量天然钠，无额外添加蔗糖、食盐、香精、防腐剂，控脂、控糖、减脂人群都能长期吃。
3.搭配山药调和豆类寒性，减少单纯吃豆类胀气、腹胀问题，肠胃弱、老人、青少年都能长期食用。</t>
        </is>
      </c>
      <c r="S174" t="inlineStr">
        <is>
          <t>长期食用可补充日常所需植物蛋白，改善体虚乏力、精神不济，饱腹感持久，适合健身、学生、产后、中老年、减脂人群作为早晚代餐；粗粮搭配山药，质地温润，肠胃敏感人群也可安心食用。</t>
        </is>
      </c>
      <c r="T174" t="inlineStr">
        <is>
          <t>1.取 1 袋杂粮原料，全部倒入电饭煲内
2.简单淘洗干净，加入约 700ml 清水
3.启动电饭煲煮粥模式，等待程序完成即可食用</t>
        </is>
      </c>
      <c r="U174" t="inlineStr">
        <is>
          <t>微信图片_2026-06-23_160902_733.jpg</t>
        </is>
      </c>
      <c r="V174"/>
      <c r="W174"/>
      <c r="X174" t="inlineStr">
        <is>
          <t>高蛋白粥.xlsx</t>
        </is>
      </c>
      <c r="Y174" t="inlineStr">
        <is>
          <t>孙老师-五谷杂粮粥</t>
        </is>
      </c>
      <c r="Z174" t="inlineStr">
        <is>
          <t>563</t>
        </is>
      </c>
      <c r="AA174"/>
    </row>
    <row r="175" ht="25.5" customHeight="1">
      <c r="A175">
        <v>613</v>
      </c>
      <c r="B175" t="inlineStr">
        <is>
          <t>明眸粥</t>
        </is>
      </c>
      <c r="C175" t="inlineStr">
        <is>
          <t>微信图片_2026-06-23_160905_725.jpg</t>
        </is>
      </c>
      <c r="D175">
        <v>39.9</v>
      </c>
      <c r="E175" s="2"/>
      <c r="F175"/>
      <c r="G175" s="2"/>
      <c r="H175"/>
      <c r="I175"/>
      <c r="J175" t="inlineStr">
        <is>
          <t>待定</t>
        </is>
      </c>
      <c r="K175" t="inlineStr">
        <is>
          <t>黄小米, 黄玉米碴, 胡萝卜, 紫薯, 核桃</t>
        </is>
      </c>
      <c r="L175" t="inlineStr">
        <is>
          <t>袋</t>
        </is>
      </c>
      <c r="M175"/>
      <c r="N175" t="inlineStr">
        <is>
          <t>240天</t>
        </is>
      </c>
      <c r="O175" t="inlineStr">
        <is>
          <t>100g</t>
        </is>
      </c>
      <c r="P175"/>
      <c r="Q175"/>
      <c r="R175" t="inlineStr">
        <is>
          <t>1.护眼食材科学复配，药食同源养眼组合。多重天然护眼食材搭配：胡萝卜富含 β- 胡萝卜素，紫薯含花青素，核桃补充不饱和脂肪酸，搭配黄小米温润滋养，多重营养协同养护双眼，食补温和无刺激。
2.不添加蔗糖、香精、色素、防腐剂，依靠胡萝卜、紫薯自带自然清甜，仅微量天然钠，孩子、上班族、中老年均可长期食用，无代谢负担。
3.长期看手机电脑、学生刷题、熬夜追剧、中老年眼干涩模糊人群，坚持代餐食用，补充眼部所需营养，舒缓眼干、酸胀、视物疲劳，食疗循序渐进调理。</t>
        </is>
      </c>
      <c r="S175" t="inlineStr">
        <is>
          <t>针对学生刷题、上班族长期看电子屏幕、中老年眼干模糊等问题，作为早晚代餐温和食补，一碗补齐主食与护眼营养，省去单独搭配果蔬坚果的麻烦。</t>
        </is>
      </c>
      <c r="T175" t="inlineStr">
        <is>
          <t>1.取 1 袋杂粮原料，全部倒入电饭煲内
2.简单淘洗干净，加入约 700ml 清水
3.启动电饭煲煮粥模式，等待程序完成即可食用</t>
        </is>
      </c>
      <c r="U175" t="inlineStr">
        <is>
          <t>微信图片_2026-06-23_160905_725.jpg</t>
        </is>
      </c>
      <c r="V175"/>
      <c r="W175"/>
      <c r="X175" t="inlineStr">
        <is>
          <t>明眸粥.xlsx</t>
        </is>
      </c>
      <c r="Y175" t="inlineStr">
        <is>
          <t>孙老师-五谷杂粮粥</t>
        </is>
      </c>
      <c r="Z175" t="inlineStr">
        <is>
          <t>563</t>
        </is>
      </c>
      <c r="AA175"/>
    </row>
    <row r="176" ht="25.5" customHeight="1">
      <c r="A176">
        <v>615</v>
      </c>
      <c r="B176" t="inlineStr">
        <is>
          <t>悬垂腹瑜伽球</t>
        </is>
      </c>
      <c r="C176" t="inlineStr">
        <is>
          <t>主图05.jpg,主图01.jpg</t>
        </is>
      </c>
      <c r="D176">
        <v>49.9</v>
      </c>
      <c r="E176" s="2"/>
      <c r="F176"/>
      <c r="G176" s="2"/>
      <c r="H176"/>
      <c r="I176" t="inlineStr">
        <is>
          <t>XHS-栖朵朵, KS-元气工厂, SPH-锦川优品, XHS-坦彦商贸</t>
        </is>
      </c>
      <c r="J176" t="inlineStr">
        <is>
          <t>🟢已上架</t>
        </is>
      </c>
      <c r="K176" t="inlineStr">
        <is>
          <t>PVC</t>
        </is>
      </c>
      <c r="L176" t="inlineStr">
        <is>
          <t>蓝色、粉色</t>
        </is>
      </c>
      <c r="M176"/>
      <c r="N176" t="inlineStr">
        <is>
          <t>直径25cm</t>
        </is>
      </c>
      <c r="O176" t="inlineStr">
        <is>
          <t>300g</t>
        </is>
      </c>
      <c r="P176"/>
      <c r="Q176" t="inlineStr">
        <is>
          <t>打气筒</t>
        </is>
      </c>
      <c r="R176" t="inlineStr">
        <is>
          <t>改善设计：专为成人女性打造，针对性适配悬垂腹改善、盆底肌强化训练，比普通大球更易控制发力，精准刺激深层肌群
加厚防爆：多层复合 PVC 材质加厚升级，承重性强、防爆耐拉扯，成人高强度训练也能保障使用安全
防滑亲肤：表面细腻纹理，贴合肌肤不打滑，触感温和无刺激，训练过程动作更稳定
多场景全适配：可用于盆底肌锻炼、悬垂腹塑形、普拉提训练、核心激活、体态矫正，居家、健身房、瑜伽馆都能用</t>
        </is>
      </c>
      <c r="S176" t="inlineStr">
        <is>
          <t>激活盆底肌与腹部深层肌群，针对性改善悬垂腹、紧致腰腹线条。采用加厚防爆 PVC 材质，多层工艺加持贴合肌肤不打滑，动作发力更稳。
不管是盆底肌日常养护、悬垂腹塑形，还是普拉提训练、核心激活都能适配，居家、卧室、瑜伽馆都能用</t>
        </is>
      </c>
      <c r="T176" t="inlineStr">
        <is>
          <t>充气操作：使用附赠打气筒充气至 8-9 分满，塞紧气塞确认不漏气即可；充气不宜过满，保留适当弹性训练效果更佳
盆底肌训练：坐姿将球体夹在大腿内侧，缓慢收缩盆底肌夹紧球体，保持 5-10 秒后放松，每组 15 次，完成 3-4 组
悬垂腹核心训练：仰卧屈膝，把球夹在小腿之间，配合腹式呼吸做卷腹动作，感受腹部深层发力，每组 12 次，完成 3 组
普拉提辅助：可垫在腰后、背部或脚下，辅助完成桥式、平板支撑、侧腰训练等动作，增加训练精准度</t>
        </is>
      </c>
      <c r="U176" t="inlineStr">
        <is>
          <t>113f63e8efe3174da2e3809e4b32a64e.mp4,详情图18.jpg</t>
        </is>
      </c>
      <c r="V176"/>
      <c r="W176"/>
      <c r="X176" t="inlineStr">
        <is>
          <t>悬垂腹瑜伽球.xlsx</t>
        </is>
      </c>
      <c r="Y176" t="inlineStr">
        <is>
          <t>致佳工贸-B656-抖音-孙分段式瑜伽球弹</t>
        </is>
      </c>
      <c r="Z176"/>
      <c r="AA176"/>
    </row>
    <row r="177" ht="25.5" customHeight="1">
      <c r="A177">
        <v>616</v>
      </c>
      <c r="B177" t="inlineStr">
        <is>
          <t>本草银耳</t>
        </is>
      </c>
      <c r="C177" t="inlineStr">
        <is>
          <t>【芊芊朵】本草银耳-主图4.jpg,【芊芊朵】本草银耳-主图2.jpg</t>
        </is>
      </c>
      <c r="D177">
        <v>49.9</v>
      </c>
      <c r="E177" s="2"/>
      <c r="F177"/>
      <c r="G177" s="2"/>
      <c r="H177"/>
      <c r="I177" t="inlineStr">
        <is>
          <t>DY-速力达优品, DY-海智动养优品, KS-元气工厂, SPH-锦川优品</t>
        </is>
      </c>
      <c r="J177" t="inlineStr">
        <is>
          <t>🟢已上架</t>
        </is>
      </c>
      <c r="K177" t="inlineStr">
        <is>
          <t>银耳</t>
        </is>
      </c>
      <c r="L177" t="inlineStr">
        <is>
          <t>罐</t>
        </is>
      </c>
      <c r="M177"/>
      <c r="N177" t="inlineStr">
        <is>
          <t>12个月</t>
        </is>
      </c>
      <c r="O177" t="inlineStr">
        <is>
          <t>80g</t>
        </is>
      </c>
      <c r="P177"/>
      <c r="Q177"/>
      <c r="R177" t="inlineStr">
        <is>
          <t>1. 超高营养，3-4 倍胶养精华
银耳粗多糖 46.5%，是普通银耳的 3~4 倍，多糖是银耳核心养肤活性物质；膳食纤维含量高达 73.8%，饱腹控卡；满满活性胶质，实现 7 分养颜、3 分养护的东方美肤效果。
2. 免煮速泡，省时省心
采用低温破壁工艺，打破银耳细胞壁，释放内部胶质：5-10 分钟热水焖泡就能出浓稠胶感，不用砂锅慢炖；保温杯、焖烧杯、玻璃杯均可冲泡，办公室、出差、居家随手就能做，不用开火洗碗。
3. 有机安全，本草培育
拥有国家有机产品认证，原料本草培育，无添加剂；80g 罐装密封储存，干净防潮，粉质细碎易出胶，用量好把控。
4. 百搭轻滋补，适用人群广
低糖低脂，可搭配红枣、枸杞、牛奶等，代餐、早餐、甜品、熬夜补水滋补都合适，减脂人群、女性、上班族、长辈均可食用。</t>
        </is>
      </c>
      <c r="S177" t="inlineStr">
        <is>
          <t>区别于传统干银耳，是新一代即食胶质银耳。无添加，原料安全纯净。相比普通银耳，营养成分大幅升级，富含高含量银耳粗多糖、膳食纤维与多种氨基酸，胶质浓稠易吸收，无需长时间熬煮，温水焖泡即可快速出胶，滋补调理都适配。</t>
        </is>
      </c>
      <c r="T177" t="inlineStr">
        <is>
          <t>1.银耳 3g 加 500ml 清水，小火煮 8 分钟；
2.放入红枣、枸杞再煮 2 分钟关火，焖 3 分钟胶质更浓郁。
密封罐体置于阴凉干燥处，避免潮湿受潮；每次取用后及时盖紧盖子，开封后 3 个月内食用完毕口感最佳。</t>
        </is>
      </c>
      <c r="U177" t="inlineStr">
        <is>
          <t>sku-2-【豪华双有机】80g芊芊朵有机本草银耳.jpg</t>
        </is>
      </c>
      <c r="V177"/>
      <c r="W177"/>
      <c r="X177" t="inlineStr">
        <is>
          <t>本草银耳.xlsx</t>
        </is>
      </c>
      <c r="Y177" t="inlineStr">
        <is>
          <t>孙老师-冻干银耳</t>
        </is>
      </c>
      <c r="Z177"/>
      <c r="AA177"/>
    </row>
    <row r="178" ht="25.5" customHeight="1">
      <c r="A178">
        <v>628</v>
      </c>
      <c r="B178" t="inlineStr">
        <is>
          <t>脾胃豆浆</t>
        </is>
      </c>
      <c r="C178" t="inlineStr">
        <is>
          <t>03脾胃豆浆.jpg</t>
        </is>
      </c>
      <c r="D178">
        <v>29.9</v>
      </c>
      <c r="E178" s="2"/>
      <c r="F178"/>
      <c r="G178" s="2"/>
      <c r="H178"/>
      <c r="I178" t="inlineStr">
        <is>
          <t>DY-速力达优品, DY-海智动养优品</t>
        </is>
      </c>
      <c r="J178" t="inlineStr">
        <is>
          <t>🟢已上架</t>
        </is>
      </c>
      <c r="K178" t="inlineStr">
        <is>
          <t>黄豆, 玉米粒, 黄小米, 糯米, 薏米, 茯苓</t>
        </is>
      </c>
      <c r="L178" t="inlineStr">
        <is>
          <t>包</t>
        </is>
      </c>
      <c r="M178"/>
      <c r="N178" t="inlineStr">
        <is>
          <t>240天</t>
        </is>
      </c>
      <c r="O178" t="inlineStr">
        <is>
          <t>70g</t>
        </is>
      </c>
      <c r="P178"/>
      <c r="Q178"/>
      <c r="R178" t="inlineStr">
        <is>
          <t>药食同源科学配方，老少皆宜  食材仅 6 种原生谷物，无杂料勾兑，清淡温润，不会加重身体代谢负担。搭配复合碳水与少量健康脂肪，早餐一杯饱腹感强，替代精加工早餐，补足谷物营养。</t>
        </is>
      </c>
      <c r="S178" t="inlineStr">
        <is>
          <t>脾胃豆浆是专为脾胃虚弱人群调配的五谷养生豆浆原料包，采用药食同源搭配思路，精选6 种天然谷物食材科学配比。食材天然温和，兼顾谷物营养与健脾养胃食疗属性，可直接放入破壁机、豆浆机打磨成细腻豆浆，口感醇厚顺滑，日常早餐、代餐都适合，长期饮用温和调理脾胃，适配积食、湿气重、消化差、容易腹胀、胃口不佳的各类人群。</t>
        </is>
      </c>
      <c r="T178" t="inlineStr">
        <is>
          <t>1.取一包豆浆料包淘洗干净
2.将800ML左右的水倒入豆浆机中选择豆浆模式研磨煮沸</t>
        </is>
      </c>
      <c r="U178"/>
      <c r="V178"/>
      <c r="W178"/>
      <c r="X178" t="inlineStr">
        <is>
          <t>脾胃豆浆.xlsx</t>
        </is>
      </c>
      <c r="Y178" t="inlineStr">
        <is>
          <t>孙老师-五谷杂粮豆浆包</t>
        </is>
      </c>
      <c r="Z178"/>
      <c r="AA178"/>
    </row>
    <row r="179" ht="25.5" customHeight="1">
      <c r="A179">
        <v>618</v>
      </c>
      <c r="B179" t="inlineStr">
        <is>
          <t>超薄半月板护膝</t>
        </is>
      </c>
      <c r="C179" t="inlineStr">
        <is>
          <t>主图.jpg</t>
        </is>
      </c>
      <c r="D179">
        <v>29.9</v>
      </c>
      <c r="E179" s="2"/>
      <c r="F179"/>
      <c r="G179" s="2"/>
      <c r="H179"/>
      <c r="I179" t="inlineStr">
        <is>
          <t>SPH-锦川优品, KS-元气工厂</t>
        </is>
      </c>
      <c r="J179" t="inlineStr">
        <is>
          <t>🟢已上架</t>
        </is>
      </c>
      <c r="K179" t="inlineStr">
        <is>
          <t>经编布</t>
        </is>
      </c>
      <c r="L179" t="inlineStr">
        <is>
          <t>粉色, 黑色</t>
        </is>
      </c>
      <c r="M179"/>
      <c r="N179" t="inlineStr">
        <is>
          <t>S/M  L/XL</t>
        </is>
      </c>
      <c r="O179"/>
      <c r="P179"/>
      <c r="Q179"/>
      <c r="R179" t="inlineStr">
        <is>
          <t>1.轻薄隐形面料，透气不闷不卷边
高弹经编布薄款贴身，透气性佳，春夏佩戴无闷热感；弹力面料贴合腿部曲线，长时间穿戴不易卷边。
2.双侧鱼鳞弹簧支撑，缓冲关节压力
内置双鱼鳞弹簧条，上下楼、行走时辅助腿部发力，分散膝关节负重，缓冲地面冲击力，减少半月板拉扯，缓解膝盖承压不适感。
3.360° 立体加压包裹，稳固髌骨
力学环绕加压设计，全方位贴合膝盖，牢牢固定髌骨，减少关节晃动，日常活动、轻度运动时实现减震防护，给关节稳定支撑。
4.双魔术贴自由调松紧，防滑不掉落
上下两组强力魔术贴，粘合力强，可根据自身腿围随心调节松紧；贴合腿部曲线，大幅度活动也不易移位、下滑。
5.髌骨镂空开孔，活动零束缚
膝盖位置预留镂空孔，不挤压髌骨，蹲起、走路、慢跑时腿部屈伸不受限制，不会闷压膝盖。</t>
        </is>
      </c>
      <c r="S179" t="inlineStr">
        <is>
          <t>这款轻薄半月板护膝选用高弹透气经编布制成，采用人体工学立体剪裁，搭配双侧鱼鳞弹簧支撑与可调节魔术贴，360° 环绕包裹稳定膝关节，镂空髌骨设计不限制腿部屈伸。整体轻薄隐形，可内搭于裤装中，兼顾透气舒适与关节防护，适合日常行走、居家劳作、轻度运动，也可用于膝盖酸胀、半月板不适人群的日常基础防护。</t>
        </is>
      </c>
      <c r="T179" t="inlineStr">
        <is>
          <t>1.找准护膝中间镂空区域，对准自身膝盖髌骨；
2.将护膝套入腿部，调整高度，让两侧弹簧条贴合膝盖侧边；
3.先粘贴下方魔术贴固定小腿，再拉紧上方魔术贴固定大腿；
4.小幅活动腿部，调整至贴合不勒、活动无紧绷感的松紧度即可。</t>
        </is>
      </c>
      <c r="U179"/>
      <c r="V179"/>
      <c r="W179"/>
      <c r="X179" t="inlineStr">
        <is>
          <t>超薄月半板护膝.xlsx</t>
        </is>
      </c>
      <c r="Y179" t="inlineStr">
        <is>
          <t>艾草护膝发货群虞晓雨</t>
        </is>
      </c>
      <c r="Z179"/>
      <c r="AA179"/>
    </row>
    <row r="180" ht="25.5" customHeight="1">
      <c r="A180">
        <v>633</v>
      </c>
      <c r="B180" t="inlineStr">
        <is>
          <t>榨汁机</t>
        </is>
      </c>
      <c r="C180" t="inlineStr">
        <is>
          <t>1.jpg,2.jpg</t>
        </is>
      </c>
      <c r="D180">
        <v>149</v>
      </c>
      <c r="E180" s="2"/>
      <c r="F180"/>
      <c r="G180" s="2"/>
      <c r="H180"/>
      <c r="I180" t="inlineStr">
        <is>
          <t>XHS-坦彦商贸, DY-海智动养优品, DY-速力达优品</t>
        </is>
      </c>
      <c r="J180" t="inlineStr">
        <is>
          <t>🟢已上架</t>
        </is>
      </c>
      <c r="K180" t="inlineStr">
        <is>
          <t>钠钙玻璃, 26叶精钢刀</t>
        </is>
      </c>
      <c r="L180" t="inlineStr">
        <is>
          <t>个</t>
        </is>
      </c>
      <c r="M180"/>
      <c r="N180" t="inlineStr">
        <is>
          <t>高21cm，直径11.5cm</t>
        </is>
      </c>
      <c r="O180" t="inlineStr">
        <is>
          <t>容量1000ml</t>
        </is>
      </c>
      <c r="P180"/>
      <c r="Q180"/>
      <c r="R180" t="inlineStr">
        <is>
          <t>1. 市面普通榨汁杯仅 300-600ml，本品足足 1000ml；自带便携提手，榨好直接当水杯外带，露营、健身、办公室全天畅饮。
2. 钠钙玻璃杯身，耐高温，安全无异味；透明杯身直观看见食材，无塑料析出，打热果汁、冷饮都适配。
3. 26 叶精钢刀，强劲碎冰无残渣，不易生锈；高转速电机，硬水果、冰块轻松打碎，果汁细腻顺滑无颗粒，不用过滤。
4. 隐藏刀头 + 全拆洗，安全好打理
刀头内置隐藏设计，拆卸清洗不会划伤手；机头、杯身、密封圈全部可拆卸，清水一冲就干净，无食材残留、不滋生细菌。
5. 数字电量屏显，剩余电量一目了然；大容量锂电池，充满一次可连续使用一周，出门不用频繁充电。</t>
        </is>
      </c>
      <c r="S180" t="inlineStr">
        <is>
          <t>杯身采用钠钙玻璃，搭配 26 叶精钢刀组，高转速电机可碎冰、榨果蔬、打奶昔；自带数字电量显示屏，静音运行，全身可拆卸，清洗简单；配有便携提手，清新绿、樱花粉双色可选，居家、通勤、户外、健身都能用，一次榨满全家鲜果汁，自制无添加饮品更健康。</t>
        </is>
      </c>
      <c r="T180" t="inlineStr">
        <is>
          <t>1.打开杯盖，放入切小块的水果、冰块、液体（液体最低没过刀头，不超过 1000ml 刻度线）；
2.拧紧机头，双击电源键启动榨汁，单次搅拌 40 秒自动停机；
3.榨好后拧下机头，直接手持杯身饮用，或倒出分享；
4.使用完毕，全部配件拆开清水冲洗，晾干收纳。</t>
        </is>
      </c>
      <c r="U180"/>
      <c r="V180"/>
      <c r="W180"/>
      <c r="X180" t="inlineStr">
        <is>
          <t>榨汁机.xlsx</t>
        </is>
      </c>
      <c r="Y180" t="inlineStr">
        <is>
          <t>孙老师-榨汁机</t>
        </is>
      </c>
      <c r="Z180"/>
      <c r="AA180"/>
    </row>
    <row r="181" ht="25.5" customHeight="1">
      <c r="A181">
        <v>634</v>
      </c>
      <c r="B181" t="inlineStr">
        <is>
          <t>高迁黑麦片</t>
        </is>
      </c>
      <c r="C181" t="inlineStr">
        <is>
          <t>1.png</t>
        </is>
      </c>
      <c r="D181">
        <v>29.9</v>
      </c>
      <c r="E181" s="2"/>
      <c r="F181"/>
      <c r="G181" s="2"/>
      <c r="H181"/>
      <c r="I181" t="inlineStr">
        <is>
          <t>SPH-锦川优品, KS-元气工厂, XHS-坦彦商贸, DY-速力达优品, DY-海智动养优品</t>
        </is>
      </c>
      <c r="J181" t="inlineStr">
        <is>
          <t>🟢已上架</t>
        </is>
      </c>
      <c r="K181" t="inlineStr">
        <is>
          <t>黑麦片</t>
        </is>
      </c>
      <c r="L181" t="inlineStr">
        <is>
          <t>罐</t>
        </is>
      </c>
      <c r="M181"/>
      <c r="N181" t="inlineStr">
        <is>
          <t>12个月</t>
        </is>
      </c>
      <c r="O181" t="inlineStr">
        <is>
          <t>1.019kg</t>
        </is>
      </c>
      <c r="P181"/>
      <c r="Q181"/>
      <c r="R181" t="inlineStr">
        <is>
          <t>1. 配料干净纯粹，0 添加负担，控盐人群、高血压人群友好。只用原产地黑麦原片，完整保留谷物原生营养。
2. 超高膳食纤维，代餐饱腹感强。高纤维延缓糖分吸收、促进肠道蠕动，饱腹持久，减脂期控饿、久坐便秘人群刚需。
3. 优质蛋白，低脂肪低升糖
4. 3 分钟速食，吃法百搭
无需烹煮，热水 / 热牛奶焖泡 3-5 分钟即可食用，早上赶时间、办公室加餐、夜宵代餐都方便；口感软糯 Q 弹，麦香醇厚。</t>
        </is>
      </c>
      <c r="S181" t="inlineStr">
        <is>
          <t>纯谷物冲调食品，配料仅黑麦片，无额外添加蔗糖、钠盐，产自山东枣庄。大容量 1.019 公斤罐装，主打高膳食纤维、高蛋白、0 钠低卡，免煮只需热水焖泡 3-5 分钟，是控糖、减脂、控重人群、中老年、学生全家适用的健康早餐代餐，天然麦香浓郁，软糯有嚼劲。</t>
        </is>
      </c>
      <c r="T181" t="inlineStr">
        <is>
          <t>1.取 50-60g 黑麦片倒入碗中；
2.倒入沸水 / 热牛奶，水量没过麦片即可；
3.盖上盖子焖泡 3-5 分钟，根据喜好调整软硬，直接食用。</t>
        </is>
      </c>
      <c r="U181"/>
      <c r="V181"/>
      <c r="W181" t="inlineStr">
        <is>
          <t>ZXSP20260408109高纤黑麦片.pdf</t>
        </is>
      </c>
      <c r="X181" t="inlineStr">
        <is>
          <t>高迁黑麦片.xlsx</t>
        </is>
      </c>
      <c r="Y181" t="inlineStr">
        <is>
          <t>久诺-钰-工厂代发群</t>
        </is>
      </c>
      <c r="Z181"/>
      <c r="AA181"/>
    </row>
    <row r="182" ht="25.5" customHeight="1">
      <c r="A182">
        <v>635</v>
      </c>
      <c r="B182" t="inlineStr">
        <is>
          <t>液态硅胶指压板+拖鞋（组合装）</t>
        </is>
      </c>
      <c r="C182" t="inlineStr">
        <is>
          <t>主图.png,主图2.png</t>
        </is>
      </c>
      <c r="D182">
        <v>119.8</v>
      </c>
      <c r="E182" s="2"/>
      <c r="F182"/>
      <c r="G182" s="2"/>
      <c r="H182"/>
      <c r="I182" t="inlineStr">
        <is>
          <t>DY-速力达优品, SPH-锦川优品</t>
        </is>
      </c>
      <c r="J182" t="inlineStr">
        <is>
          <t>🟢已上架</t>
        </is>
      </c>
      <c r="K182"/>
      <c r="L182"/>
      <c r="M182"/>
      <c r="N182" t="inlineStr">
        <is>
          <t>所有资料同步单品</t>
        </is>
      </c>
      <c r="O182"/>
      <c r="P182"/>
      <c r="Q182"/>
      <c r="R182"/>
      <c r="S182"/>
      <c r="T182"/>
      <c r="U182"/>
      <c r="V182"/>
      <c r="W182"/>
      <c r="X182"/>
      <c r="Y182" t="inlineStr">
        <is>
          <t>普拉提圈方形.59指压板26轮知文</t>
        </is>
      </c>
      <c r="Z182"/>
      <c r="AA182"/>
    </row>
    <row r="183" ht="25.5" customHeight="1">
      <c r="A183">
        <v>636</v>
      </c>
      <c r="B183" t="inlineStr">
        <is>
          <t>腿部按摩疏通套装</t>
        </is>
      </c>
      <c r="C183" t="inlineStr">
        <is>
          <t>image.png</t>
        </is>
      </c>
      <c r="D183">
        <v>89.9</v>
      </c>
      <c r="E183" s="2"/>
      <c r="F183"/>
      <c r="G183" s="2"/>
      <c r="H183"/>
      <c r="I183" t="inlineStr">
        <is>
          <t>DY-速力达优品, SPH-锦川优品</t>
        </is>
      </c>
      <c r="J183" t="inlineStr">
        <is>
          <t>🟢已上架</t>
        </is>
      </c>
      <c r="K183"/>
      <c r="L183"/>
      <c r="M183"/>
      <c r="N183" t="inlineStr">
        <is>
          <t>所有资料同步单品</t>
        </is>
      </c>
      <c r="O183"/>
      <c r="P183"/>
      <c r="Q183"/>
      <c r="R183"/>
      <c r="S183"/>
      <c r="T183"/>
      <c r="U183"/>
      <c r="V183"/>
      <c r="W183"/>
      <c r="X183"/>
      <c r="Y183"/>
      <c r="Z183"/>
      <c r="AA183"/>
    </row>
    <row r="184" ht="25.5" customHeight="1">
      <c r="A184">
        <v>637</v>
      </c>
      <c r="B184" t="inlineStr">
        <is>
          <t>草本微重力睡眠眼罩</t>
        </is>
      </c>
      <c r="C184" t="inlineStr">
        <is>
          <t>image.png</t>
        </is>
      </c>
      <c r="D184">
        <v>49.9</v>
      </c>
      <c r="E184" s="2"/>
      <c r="F184"/>
      <c r="G184" s="2"/>
      <c r="H184"/>
      <c r="I184" t="inlineStr">
        <is>
          <t>DY-尚悦优品, SPH-原物集</t>
        </is>
      </c>
      <c r="J184" t="inlineStr">
        <is>
          <t>🟢已上架</t>
        </is>
      </c>
      <c r="K184" t="inlineStr">
        <is>
          <t>棉纶材质, 氨纶, 聚酯纤维, 玻璃珠</t>
        </is>
      </c>
      <c r="L184" t="inlineStr">
        <is>
          <t>个</t>
        </is>
      </c>
      <c r="M184"/>
      <c r="N184" t="inlineStr">
        <is>
          <t>72cm×13cm</t>
        </is>
      </c>
      <c r="O184"/>
      <c r="P184" t="inlineStr">
        <is>
          <t>可寄回更换（无运费险我们承担），不支持补发</t>
        </is>
      </c>
      <c r="Q184" t="inlineStr">
        <is>
          <t>收纳袋</t>
        </is>
      </c>
      <c r="R184" t="inlineStr">
        <is>
          <t>1.微重力助眠：环绕式玻璃珠均匀施压，模拟轻压包裹感，舒缓眼部，帮助快速进入深睡，44cm 重力区，受力均衡自然下沉。
2.99% 全遮光：贴合人体鼻梁曲线，无缝隙不漏光，遮光效果远超普通眼罩、蒸汽眼罩，黑夜级睡眠环境。
3.正面凉感面料：夏天清爽不闷汗
   反面柔丝绒面料：秋冬保暖软糯吐司松软触感，久戴不闷。
4.无挂耳环绕设计：无勒耳橡筋，搭配静音加宽魔术贴，可包裹双耳微降噪，侧睡不压耳、不留压痕。</t>
        </is>
      </c>
      <c r="S184" t="inlineStr">
        <is>
          <t>这款草本微重力睡眠眼罩采用环绕全包无挂耳设计，搭配分格均匀玻璃珠填充实现柔和重力施压；双面双效面料做到四季通用，高遮光贴合鼻梁无漏光缝隙，静音宽魔术贴可微调头围、轻裹双耳微降噪。母婴级安全面料防螨抑菌，专为浅眠易醒、怕光、戴普通眼罩勒耳的人群打造，物理舒缓放松眼部，打造沉浸式暗夜深睡环境。</t>
        </is>
      </c>
      <c r="T184" t="inlineStr">
        <is>
          <t>1.洗涤水温不高于30°C，可手洗或轻柔机洗，洗涤时使用中性洗涤液或柔顺剂切记不可使用含氯、含漂白剂、的洗衣液;酵素的洗衣液，不建议使用含荧光剂
2.洗涤时先将洗涤液溶解后放入产品否则易使面料局部掉色或染色;
3.建议单独清洗，与其他衣物也需分开洗涤，避免串色;
4.建议使用洗护袋。</t>
        </is>
      </c>
      <c r="U184"/>
      <c r="V184"/>
      <c r="W184"/>
      <c r="X184" t="inlineStr">
        <is>
          <t>草本眼罩.xlsx</t>
        </is>
      </c>
      <c r="Y184" t="inlineStr">
        <is>
          <t>草本眼罩沟通群</t>
        </is>
      </c>
      <c r="Z184"/>
      <c r="AA184"/>
    </row>
    <row r="185" ht="25.5" customHeight="1">
      <c r="A185">
        <v>638</v>
      </c>
      <c r="B185" t="inlineStr">
        <is>
          <t>护颈脖套</t>
        </is>
      </c>
      <c r="C185" t="inlineStr">
        <is>
          <t>image.png</t>
        </is>
      </c>
      <c r="D185">
        <v>39.9</v>
      </c>
      <c r="E185" s="2"/>
      <c r="F185"/>
      <c r="G185" s="2"/>
      <c r="H185"/>
      <c r="I185" t="inlineStr">
        <is>
          <t>SPH-原物集, DY-尚悦优品</t>
        </is>
      </c>
      <c r="J185" t="inlineStr">
        <is>
          <t>🔴预售中</t>
        </is>
      </c>
      <c r="K185" t="inlineStr">
        <is>
          <t>棉</t>
        </is>
      </c>
      <c r="L185" t="inlineStr">
        <is>
          <t>灰色, 粉色</t>
        </is>
      </c>
      <c r="M185"/>
      <c r="N185" t="inlineStr">
        <is>
          <t>长54cm*宽18cm</t>
        </is>
      </c>
      <c r="O185"/>
      <c r="P185"/>
      <c r="Q185"/>
      <c r="R185"/>
      <c r="S185"/>
      <c r="T185"/>
      <c r="U185"/>
      <c r="V185"/>
      <c r="W185"/>
      <c r="X185"/>
      <c r="Y185" t="inlineStr">
        <is>
          <t>静阳老师-护颈</t>
        </is>
      </c>
      <c r="Z185"/>
      <c r="AA185"/>
    </row>
    <row r="186" ht="25.5" customHeight="1">
      <c r="A186">
        <v>639</v>
      </c>
      <c r="B186" t="inlineStr">
        <is>
          <t>吹风机</t>
        </is>
      </c>
      <c r="C186" t="inlineStr">
        <is>
          <t>image.png</t>
        </is>
      </c>
      <c r="D186">
        <v>99.9</v>
      </c>
      <c r="E186" s="2"/>
      <c r="F186"/>
      <c r="G186" s="2"/>
      <c r="H186"/>
      <c r="I186" t="inlineStr">
        <is>
          <t>DY-速力达优品, DY-海智动养优品, KS-元气工厂, XHS-坦彦商贸, SPH-锦川优品</t>
        </is>
      </c>
      <c r="J186" t="inlineStr">
        <is>
          <t>🟢已上架</t>
        </is>
      </c>
      <c r="K186" t="inlineStr">
        <is>
          <t>ABS</t>
        </is>
      </c>
      <c r="L186" t="inlineStr">
        <is>
          <t>粉色</t>
        </is>
      </c>
      <c r="M186"/>
      <c r="N186" t="inlineStr">
        <is>
          <t>展开尺寸：长约 275mm × 宽约 205mm × 风筒直径约 59mm
折叠尺寸：长约 205mm × 宽约 80mm × 厚约 59mm
注：手工测量存在 ±5mm 误差，敬请谅解</t>
        </is>
      </c>
      <c r="O186"/>
      <c r="P186" t="inlineStr">
        <is>
          <t>7退（不能影响二销），有问题换货
保修9个月只换不修，除运费险外，多次换货运费我们承担，登记表格（拒收顺丰、邮政）</t>
        </is>
      </c>
      <c r="Q186" t="inlineStr">
        <is>
          <t>风嘴</t>
        </is>
      </c>
      <c r="R186" t="inlineStr">
        <is>
          <t>2400W 大功率速干：搭载高转速涡轮电机，配合仿喷射引擎空气动力学风道，风量澎湃强劲
6 档双控自由调节：风速 2 档（强风 / 柔风）+ 风温 3 档（热风 / 暖风 / 冷风）双开关独立控制
恒温护发 + 蓝光滋养：恒温精准控温，避免高温灼伤；立体蓝光加持，减少头发毛躁干枯
可折叠便携设计：手柄可折叠收纳，体积小巧不占空间，居家、出差、旅行、住校都能轻松携带
多重安全防护：内置过热保护装置，温度过高自动断电；蜂窝式进风滤网有效防吸发
细节设计贴心：聚风均匀出风口，兼容多数通用风罩风嘴</t>
        </is>
      </c>
      <c r="S186" t="inlineStr">
        <is>
          <t>2400W强劲功率搭配高转速涡轮电机，带来澎湃风量。6 档双控自由调节，日常吹发、造型打理都能轻松应对。恒温技术精准控温，搭配立体蓝光呵护，吹发不伤发，减少毛躁干枯，越吹发质越顺滑。过热自动断电、蜂窝滤网防吸发、阻燃机身，家用更安心</t>
        </is>
      </c>
      <c r="T186" t="inlineStr">
        <is>
          <t>吹发时建议距离头发 10-15cm，均匀移动吹风机，避免长时间直吹同一部位
调节风速开关：选择柔风档适合日常吹整、造型梳理；强风档适合湿发快速吹干
调节风温开关：热风档搭配强风实现快速干发；暖风档温和护发，适合日常使用；冷风档用于发型收尾定型
使用完毕后，先关闭所有开关，拔掉电源，待机身完全冷却后折叠收纳</t>
        </is>
      </c>
      <c r="U186"/>
      <c r="V186"/>
      <c r="W186" t="inlineStr">
        <is>
          <t>e3a373c8131d4cc6a3820629a51997c6.jpg</t>
        </is>
      </c>
      <c r="X186" t="inlineStr">
        <is>
          <t>吹风机.xlsx</t>
        </is>
      </c>
      <c r="Y186" t="inlineStr">
        <is>
          <t>孙老师-恒护吹风机对接群</t>
        </is>
      </c>
      <c r="Z186"/>
      <c r="AA186"/>
    </row>
    <row r="187" ht="25.5" customHeight="1">
      <c r="A187">
        <v>640</v>
      </c>
      <c r="B187" t="inlineStr">
        <is>
          <t>长绒棉袜</t>
        </is>
      </c>
      <c r="C187" t="inlineStr">
        <is>
          <t>主图2.jpg</t>
        </is>
      </c>
      <c r="D187">
        <v>59.9</v>
      </c>
      <c r="E187" s="2"/>
      <c r="F187"/>
      <c r="G187" s="2"/>
      <c r="H187"/>
      <c r="I187" t="inlineStr">
        <is>
          <t>DY-尚悦优品, SPH-原物集</t>
        </is>
      </c>
      <c r="J187" t="inlineStr">
        <is>
          <t>🟢已上架</t>
        </is>
      </c>
      <c r="K187" t="inlineStr">
        <is>
          <t>98％棉, 2％涤纶</t>
        </is>
      </c>
      <c r="L187" t="inlineStr">
        <is>
          <t>双</t>
        </is>
      </c>
      <c r="M187"/>
      <c r="N187" t="inlineStr">
        <is>
          <t xml:space="preserve">  鞋码：
35-36码:宽口高 20cm   束口高23.5cm
37-38码:宽口高21.5cm   束口高24.5ｃｍ
39-40码:宽沟高24cm   束口高27cm
</t>
        </is>
      </c>
      <c r="O187"/>
      <c r="P187" t="inlineStr">
        <is>
          <t>1. 七天无理由(不影响二次销售)，拆了吊牌不可以退换，未拆（并没有明显穿着痕迹）可以退换
2. 如果15天内穿着非人为故意损坏，存在质量问题可补发、补偿最高（3元）</t>
        </is>
      </c>
      <c r="Q187"/>
      <c r="R187" t="inlineStr">
        <is>
          <t>1. 多层纯棉复合结构，棉花填充锁温，面料厚实，居家穿戴能持续留存足部暖意，抵御寒凉；
2. 天然棉花填充，透气不闷脚，吸走足部潮气，久穿无黏腻闷热感；
3. 宽松弹力袜口，不勒腿不压肌肤，睡眠长时间穿戴无束缚；
4. 加密衍缝工艺，内部棉花固定，不易跑棉；
5. 里外全棉亲肤面料，触感细腻柔软，居家、夜间睡眠都适配；
6. 天然棉花原料，燃烧无黑烟无刺鼻异味，材质安全温和。</t>
        </is>
      </c>
      <c r="S187" t="inlineStr">
        <is>
          <t>这款棉袜纯棉布料；中间填充层：天然纯棉花工艺：多层复合防风结构，加密衍缝锁棉工艺，不易跑棉；面料柔软暖绒，透气吸汗，弹力罗纹袜口不勒脚。</t>
        </is>
      </c>
      <c r="T187" t="inlineStr">
        <is>
          <t>1. 夜间睡眠：睡前直接穿戴，居家睡觉维持足部温润；
2. 居家休闲：客厅沙发、室内活动时穿戴，抵御室内冷空气；
3. 洗护方式：轻柔手洗 / 洗衣机轻柔模式，低温阴干，不可高温烘干、大力揉搓，避免棉花结块。</t>
        </is>
      </c>
      <c r="U187"/>
      <c r="V187" t="inlineStr">
        <is>
          <t>67c12ef2546d404f0c9edcc48be925fa.png</t>
        </is>
      </c>
      <c r="W187"/>
      <c r="X187" t="inlineStr">
        <is>
          <t>【新】长绒棉袜.xlsx</t>
        </is>
      </c>
      <c r="Y187" t="inlineStr">
        <is>
          <t>静阳老师－新疆棉棉袜、护颈</t>
        </is>
      </c>
      <c r="Z187"/>
      <c r="AA187"/>
    </row>
    <row r="188" ht="25.5" customHeight="1">
      <c r="A188">
        <v>641</v>
      </c>
      <c r="B188" t="inlineStr">
        <is>
          <t>按摩点瑜伽球</t>
        </is>
      </c>
      <c r="C188" t="inlineStr">
        <is>
          <t>050ca77d36f1521a8d416a79d12cfb11.png,372111f377cacc8da3b5c58ab2ab1e2c.png</t>
        </is>
      </c>
      <c r="D188">
        <v>39.9</v>
      </c>
      <c r="E188" s="2"/>
      <c r="F188"/>
      <c r="G188" s="2"/>
      <c r="H188"/>
      <c r="I188" t="inlineStr">
        <is>
          <t>DY-速力达优品, DY-海智动养优品, KS-元气工厂, XHS-栖朵朵, XHS-坦彦商贸, SPH-锦川优品</t>
        </is>
      </c>
      <c r="J188" t="inlineStr">
        <is>
          <t>🟢已上架</t>
        </is>
      </c>
      <c r="K188" t="inlineStr">
        <is>
          <t>PVC</t>
        </is>
      </c>
      <c r="L188" t="inlineStr">
        <is>
          <t>紫色, 粉色, 绿色</t>
        </is>
      </c>
      <c r="M188"/>
      <c r="N188" t="inlineStr">
        <is>
          <t>最大充气直径28cm：
最小：25cm</t>
        </is>
      </c>
      <c r="O188"/>
      <c r="P188"/>
      <c r="Q188" t="inlineStr">
        <is>
          <t>便携打气筒</t>
        </is>
      </c>
      <c r="R188" t="inlineStr">
        <is>
          <t>1. 三层复合结构：外层防滑颗粒 + 加厚发泡层 + 防爆核心层，承重力强，重物挤压不易爆裂。加厚环保 PVC 材质，无异味防磕碰，落地、挤压不会硬邦邦硌伤身体
2. 球面密布均匀按摩凸点，模拟真人指压触感，精准触达肌肉深层酸痛点。软硬适中，对比硬质筋膜球，不会硌痛
3. 球面波浪纹路增加摩擦力，身体按压、手脚踩踏不易移位</t>
        </is>
      </c>
      <c r="S188" t="inlineStr">
        <is>
          <t>这款球是居家多功能健身按摩两用球，采用加厚环保 PVC 三层复合结构，表层布满立体按摩凸点搭配波浪防滑纹路，软硬适中回弹柔和。兼顾筋膜放松、居家按摩、办公舒缓等多重用途，防爆抗压无异味，安全耐用</t>
        </is>
      </c>
      <c r="T188" t="inlineStr">
        <is>
          <t>1.取出球体 + 配套打气筒，找到球体充气孔塞，拔下密封塞。
2.将打气筒针头插入气孔，匀速打气，充气至球体饱满、按压有柔和回弹即可，不要充太满，充气越足球体越硬，少充气会更柔软。
3.充气完成后快速塞回气孔密封塞，静置 2 分钟即可使用。
4.调节软硬：充气多 = 硬度高，按摩力度更强；充气少 = 更柔软。</t>
        </is>
      </c>
      <c r="U188"/>
      <c r="V188"/>
      <c r="W188"/>
      <c r="X188" t="inlineStr">
        <is>
          <t>按摩点瑜伽球.xlsx</t>
        </is>
      </c>
      <c r="Y188" t="inlineStr">
        <is>
          <t>普拉提圈方形.59指压板26轮知文</t>
        </is>
      </c>
      <c r="Z188"/>
      <c r="AA188"/>
    </row>
    <row r="189" ht="25.5" customHeight="1">
      <c r="A189">
        <v>642</v>
      </c>
      <c r="B189" t="inlineStr">
        <is>
          <t>大麦青汁</t>
        </is>
      </c>
      <c r="C189" t="inlineStr">
        <is>
          <t>微信图片_20260706151343_162_27.jpg,微信图片_20260706151344_163_27.jpg</t>
        </is>
      </c>
      <c r="D189">
        <v>19.9</v>
      </c>
      <c r="E189" s="2"/>
      <c r="F189"/>
      <c r="G189" s="2"/>
      <c r="H189"/>
      <c r="I189" t="inlineStr">
        <is>
          <t>KS-元气工厂, XHS-坦彦商贸, SPH-锦川优品, DY-速力达优品</t>
        </is>
      </c>
      <c r="J189" t="inlineStr">
        <is>
          <t>🟢已上架</t>
        </is>
      </c>
      <c r="K189" t="inlineStr">
        <is>
          <t>大麦苗粉</t>
        </is>
      </c>
      <c r="L189" t="inlineStr">
        <is>
          <t>3g*20条</t>
        </is>
      </c>
      <c r="M189"/>
      <c r="N189" t="inlineStr">
        <is>
          <t>12个月</t>
        </is>
      </c>
      <c r="O189" t="inlineStr">
        <is>
          <t>60g</t>
        </is>
      </c>
      <c r="P189"/>
      <c r="Q189"/>
      <c r="R189" t="inlineStr">
        <is>
          <t>1. 超高营养含量，补足日常缺口含 272% 膳食纤维，一条补齐每日纤维摄入；200% 维生素 C，补充果蔬营养，适合少吃蔬菜、饮食油腻人群。
2. 超微粉碎工艺，粉末细腻顺滑，冷水、温水均可冲调，入水快速均匀散开，不结块、无残渣，更好吸收，口感清爽不苦涩。
3. 饮用场景多元，无饮用负担晨起唤醒、下午茶解腻、运动后补水都适配；餐后饮用减轻重油重盐带来的身体负担，淡淡大麦清香，接受度高。
原料天然，简单纯粹甄选带露鲜嫩大麦草，自然培育萃取，无多余添加，长期温和饮用，适配全家日常营养补充。</t>
        </is>
      </c>
      <c r="S189" t="inlineStr">
        <is>
          <t>超微大麦青汁采用鲜嫩大麦草为原料，富含高倍膳食纤维与维生素 C，粉质细腻易溶解，入口清爽无厚重草腥味。适配独立便携包装，日常温水冲泡即可饮用，轻松补充日常果蔬营养，餐后饮用减轻身体负担，养成轻盈绿色饮食习惯。</t>
        </is>
      </c>
      <c r="T189" t="inlineStr">
        <is>
          <t>1. 取 1 条大麦青汁倒入杯中；
2. 加入 150-200ml 温水 / 冷水（水温≤60℃，高温会破坏维 C）；
3. 轻微搅拌至完全溶解，直接饮用。</t>
        </is>
      </c>
      <c r="U189"/>
      <c r="V189"/>
      <c r="W189"/>
      <c r="X189" t="inlineStr">
        <is>
          <t>大麦青汁.xlsx</t>
        </is>
      </c>
      <c r="Y189" t="inlineStr">
        <is>
          <t>久诺-钰-工厂代发群</t>
        </is>
      </c>
      <c r="Z189"/>
      <c r="AA189"/>
    </row>
    <row r="190" ht="25.5" customHeight="1">
      <c r="A190">
        <v>629</v>
      </c>
      <c r="B190" t="inlineStr">
        <is>
          <t>亚麻籽油</t>
        </is>
      </c>
      <c r="C190" t="inlineStr">
        <is>
          <t>image-1783489824592.jpg</t>
        </is>
      </c>
      <c r="D190">
        <v>99.9</v>
      </c>
      <c r="E190" s="2"/>
      <c r="F190"/>
      <c r="G190" s="2"/>
      <c r="H190"/>
      <c r="I190" t="inlineStr">
        <is>
          <t>XHS-坦彦商贸, KS-元气工厂, SPH-锦川优品, DY-速力达优品, DY-海智动养优品</t>
        </is>
      </c>
      <c r="J190" t="inlineStr">
        <is>
          <t>🟢已上架</t>
        </is>
      </c>
      <c r="K190" t="inlineStr">
        <is>
          <t>亚麻籽油</t>
        </is>
      </c>
      <c r="L190" t="inlineStr">
        <is>
          <t>瓶</t>
        </is>
      </c>
      <c r="M190"/>
      <c r="N190" t="inlineStr">
        <is>
          <t>18个月</t>
        </is>
      </c>
      <c r="O190" t="inlineStr">
        <is>
          <t>500ml</t>
        </is>
      </c>
      <c r="P190"/>
      <c r="Q190"/>
      <c r="R190" t="inlineStr">
        <is>
          <t>1. 工艺优势：低温压榨工艺，搭配充氮灌装，减少油脂氧化，保留原有风味
2. 包装设计：棕色避光玻璃瓶，有效隔绝光线，锁鲜更持久
3. 食用口感：油体色泽清亮、口感清淡，油烟少，不会厚重腻口
4. 适用场景广：凉拌沙拉、轻煎、搭配早餐、直接口服都适配
5. 营养成分：富含多不饱和脂肪酸，每 100g 含 58%α- 亚麻酸，日常膳食搭配用油</t>
        </is>
      </c>
      <c r="S190"/>
      <c r="T190"/>
      <c r="U190"/>
      <c r="V190"/>
      <c r="W190"/>
      <c r="X190" t="inlineStr">
        <is>
          <t>亚麻籽油.xlsx</t>
        </is>
      </c>
      <c r="Y190" t="inlineStr">
        <is>
          <t>晶苏记-紫苏籽油发货群</t>
        </is>
      </c>
      <c r="Z190"/>
      <c r="AA190"/>
    </row>
    <row r="191" ht="25.5" customHeight="1">
      <c r="A191">
        <v>619</v>
      </c>
      <c r="B191" t="inlineStr">
        <is>
          <t>沙宣吹风机</t>
        </is>
      </c>
      <c r="C191" t="inlineStr">
        <is>
          <t>image-1784006021408.jpg</t>
        </is>
      </c>
      <c r="D191">
        <v>159</v>
      </c>
      <c r="E191" s="2"/>
      <c r="F191"/>
      <c r="G191" s="2"/>
      <c r="H191"/>
      <c r="I191" t="inlineStr">
        <is>
          <t>SPH-锦川优品, XHS-坦彦商贸, DY-海智动养优品, DY-速力达优品, KS-元气工厂</t>
        </is>
      </c>
      <c r="J191" t="inlineStr">
        <is>
          <t>🟢已上架</t>
        </is>
      </c>
      <c r="K191"/>
      <c r="L191" t="inlineStr">
        <is>
          <t>个</t>
        </is>
      </c>
      <c r="M191"/>
      <c r="N191" t="inlineStr">
        <is>
          <t>尺寸约22*31*6.5cm，线长1.5m
一年</t>
        </is>
      </c>
      <c r="O191" t="inlineStr">
        <is>
          <t>0.6kg</t>
        </is>
      </c>
      <c r="P191" t="inlineStr">
        <is>
          <t>非质量问题不支持无理由退货，质量问题请提前群内提供问题图片和视频，提报售后，以客服同事沟通为准</t>
        </is>
      </c>
      <c r="Q191"/>
      <c r="R191" t="inlineStr">
        <is>
          <t>"1. 2000W 大功率，速干省时
真实 2000W 强劲功率，搭配可拆卸集风嘴聚拢气流，快速穿透厚发、长发，大幅缩短吹发时间，早上赶时间也能快速吹干，提升干发效率，轻松打造蓬松发根造型。
2. 57℃智能恒温，温和不伤发
恒定 57℃黄金护发温度，热量均匀不局部高温，避免高温烘烤导致头发干枯发黄，细软、受损、粗硬发质都适配。
3. 6 档多功能调节，全场景适配
3 档热力 + 2 档风速组合 6 种模式，长按一键冷风定型：
4. 低噪轻音设计，夜间使用不扰人
运行噪音仅 60-70 分贝，接近日常交谈音量，对比普通大功率 85 分贝吹风机静音效果显著，早起、深夜吹发不打扰家人，宝妈带娃也能安心使用。
5. 多重安全防护，使用放心
机身内置过热保护传感器，检测到异常高温自动断电，防止机器损坏、灼伤头皮；尾部加密防缠绕滤网，隔绝碎发吸入，防尘防堵塞，延长机器寿命。"</t>
        </is>
      </c>
      <c r="S191"/>
      <c r="T191"/>
      <c r="U191"/>
      <c r="V191"/>
      <c r="W191"/>
      <c r="X191" t="inlineStr">
        <is>
          <t>沙宣吹风机.xlsx</t>
        </is>
      </c>
      <c r="Y191" t="inlineStr">
        <is>
          <t>锦丞-沙宣吹风机对接</t>
        </is>
      </c>
      <c r="Z191"/>
      <c r="AA191"/>
    </row>
    <row r="192" ht="25.5" customHeight="1">
      <c r="A192">
        <v>620</v>
      </c>
      <c r="B192" t="inlineStr">
        <is>
          <t>酸梅汤包</t>
        </is>
      </c>
      <c r="C192"/>
      <c r="D192"/>
      <c r="E192" s="2"/>
      <c r="F192"/>
      <c r="G192" s="2"/>
      <c r="H192"/>
      <c r="I192"/>
      <c r="J192"/>
      <c r="K192"/>
      <c r="L192"/>
      <c r="M192"/>
      <c r="N192"/>
      <c r="O192"/>
      <c r="P192"/>
      <c r="Q192"/>
      <c r="R192"/>
      <c r="S192"/>
      <c r="T192"/>
      <c r="U192"/>
      <c r="V192"/>
      <c r="W192"/>
      <c r="X192"/>
      <c r="Y192"/>
      <c r="Z192"/>
      <c r="AA192"/>
    </row>
    <row r="193" ht="25.5" customHeight="1">
      <c r="A193">
        <v>621</v>
      </c>
      <c r="B193"/>
      <c r="C193"/>
      <c r="D193"/>
      <c r="E193" s="2"/>
      <c r="F193"/>
      <c r="G193" s="2"/>
      <c r="H193"/>
      <c r="I193"/>
      <c r="J193"/>
      <c r="K193"/>
      <c r="L193"/>
      <c r="M193"/>
      <c r="N193"/>
      <c r="O193"/>
      <c r="P193"/>
      <c r="Q193"/>
      <c r="R193"/>
      <c r="S193"/>
      <c r="T193"/>
      <c r="U193"/>
      <c r="V193"/>
      <c r="W193"/>
      <c r="X193"/>
      <c r="Y193"/>
      <c r="Z193"/>
      <c r="AA193"/>
    </row>
    <row r="194" ht="25.5" customHeight="1">
      <c r="A194">
        <v>622</v>
      </c>
      <c r="B194"/>
      <c r="C194"/>
      <c r="D194"/>
      <c r="E194" s="2"/>
      <c r="F194"/>
      <c r="G194" s="2"/>
      <c r="H194"/>
      <c r="I194"/>
      <c r="J194"/>
      <c r="K194"/>
      <c r="L194"/>
      <c r="M194"/>
      <c r="N194"/>
      <c r="O194"/>
      <c r="P194"/>
      <c r="Q194"/>
      <c r="R194"/>
      <c r="S194"/>
      <c r="T194"/>
      <c r="U194"/>
      <c r="V194"/>
      <c r="W194"/>
      <c r="X194"/>
      <c r="Y194"/>
      <c r="Z194"/>
      <c r="AA194"/>
    </row>
    <row r="195" ht="25.5" customHeight="1">
      <c r="A195">
        <v>623</v>
      </c>
      <c r="B195"/>
      <c r="C195"/>
      <c r="D195"/>
      <c r="E195" s="2"/>
      <c r="F195"/>
      <c r="G195" s="2"/>
      <c r="H195"/>
      <c r="I195"/>
      <c r="J195"/>
      <c r="K195"/>
      <c r="L195"/>
      <c r="M195"/>
      <c r="N195"/>
      <c r="O195"/>
      <c r="P195"/>
      <c r="Q195"/>
      <c r="R195"/>
      <c r="S195"/>
      <c r="T195"/>
      <c r="U195"/>
      <c r="V195"/>
      <c r="W195"/>
      <c r="X195"/>
      <c r="Y195"/>
      <c r="Z195"/>
      <c r="AA195"/>
    </row>
    <row r="196" ht="25.5" customHeight="1">
      <c r="A196">
        <v>624</v>
      </c>
      <c r="B196"/>
      <c r="C196"/>
      <c r="D196"/>
      <c r="E196" s="2"/>
      <c r="F196"/>
      <c r="G196" s="2"/>
      <c r="H196"/>
      <c r="I196"/>
      <c r="J196"/>
      <c r="K196"/>
      <c r="L196"/>
      <c r="M196"/>
      <c r="N196"/>
      <c r="O196"/>
      <c r="P196"/>
      <c r="Q196"/>
      <c r="R196"/>
      <c r="S196"/>
      <c r="T196"/>
      <c r="U196"/>
      <c r="V196"/>
      <c r="W196"/>
      <c r="X196"/>
      <c r="Y196"/>
      <c r="Z196"/>
      <c r="AA196"/>
    </row>
    <row r="197" ht="25.5" customHeight="1">
      <c r="A197">
        <v>625</v>
      </c>
      <c r="B197"/>
      <c r="C197"/>
      <c r="D197"/>
      <c r="E197" s="2"/>
      <c r="F197"/>
      <c r="G197" s="2"/>
      <c r="H197"/>
      <c r="I197"/>
      <c r="J197"/>
      <c r="K197"/>
      <c r="L197"/>
      <c r="M197"/>
      <c r="N197"/>
      <c r="O197"/>
      <c r="P197"/>
      <c r="Q197"/>
      <c r="R197"/>
      <c r="S197"/>
      <c r="T197"/>
      <c r="U197"/>
      <c r="V197"/>
      <c r="W197"/>
      <c r="X197"/>
      <c r="Y197"/>
      <c r="Z197"/>
      <c r="AA197"/>
    </row>
    <row r="198" ht="25.5" customHeight="1">
      <c r="A198">
        <v>626</v>
      </c>
      <c r="B198"/>
      <c r="C198"/>
      <c r="D198"/>
      <c r="E198" s="2"/>
      <c r="F198"/>
      <c r="G198" s="2"/>
      <c r="H198"/>
      <c r="I198"/>
      <c r="J198"/>
      <c r="K198"/>
      <c r="L198"/>
      <c r="M198"/>
      <c r="N198"/>
      <c r="O198"/>
      <c r="P198"/>
      <c r="Q198"/>
      <c r="R198"/>
      <c r="S198"/>
      <c r="T198"/>
      <c r="U198"/>
      <c r="V198"/>
      <c r="W198"/>
      <c r="X198"/>
      <c r="Y198"/>
      <c r="Z198"/>
      <c r="AA198"/>
    </row>
    <row r="199" ht="25.5" customHeight="1">
      <c r="A199">
        <v>627</v>
      </c>
      <c r="B199"/>
      <c r="C199"/>
      <c r="D199"/>
      <c r="E199" s="2"/>
      <c r="F199"/>
      <c r="G199" s="2"/>
      <c r="H199"/>
      <c r="I199"/>
      <c r="J199"/>
      <c r="K199"/>
      <c r="L199"/>
      <c r="M199"/>
      <c r="N199"/>
      <c r="O199"/>
      <c r="P199"/>
      <c r="Q199"/>
      <c r="R199"/>
      <c r="S199"/>
      <c r="T199"/>
      <c r="U199"/>
      <c r="V199"/>
      <c r="W199"/>
      <c r="X199"/>
      <c r="Y199"/>
      <c r="Z199"/>
      <c r="AA199"/>
    </row>
    <row r="200" ht="25.5" customHeight="1">
      <c r="A200">
        <v>630</v>
      </c>
      <c r="B200"/>
      <c r="C200"/>
      <c r="D200"/>
      <c r="E200" s="2"/>
      <c r="F200"/>
      <c r="G200" s="2"/>
      <c r="H200"/>
      <c r="I200"/>
      <c r="J200"/>
      <c r="K200"/>
      <c r="L200"/>
      <c r="M200"/>
      <c r="N200"/>
      <c r="O200"/>
      <c r="P200"/>
      <c r="Q200"/>
      <c r="R200"/>
      <c r="S200"/>
      <c r="T200"/>
      <c r="U200"/>
      <c r="V200"/>
      <c r="W200"/>
      <c r="X200"/>
      <c r="Y200"/>
      <c r="Z200"/>
      <c r="AA200"/>
    </row>
    <row r="201" ht="25.5" customHeight="1">
      <c r="A201">
        <v>631</v>
      </c>
      <c r="B201"/>
      <c r="C201"/>
      <c r="D201"/>
      <c r="E201" s="2"/>
      <c r="F201"/>
      <c r="G201" s="2"/>
      <c r="H201"/>
      <c r="I201"/>
      <c r="J201"/>
      <c r="K201"/>
      <c r="L201"/>
      <c r="M201"/>
      <c r="N201"/>
      <c r="O201"/>
      <c r="P201"/>
      <c r="Q201"/>
      <c r="R201"/>
      <c r="S201"/>
      <c r="T201"/>
      <c r="U201"/>
      <c r="V201"/>
      <c r="W201"/>
      <c r="X201"/>
      <c r="Y201"/>
      <c r="Z201"/>
      <c r="AA201"/>
    </row>
    <row r="202" ht="25.5" customHeight="1">
      <c r="A202">
        <v>632</v>
      </c>
      <c r="B202"/>
      <c r="C202"/>
      <c r="D202"/>
      <c r="E202" s="2"/>
      <c r="F202"/>
      <c r="G202" s="2"/>
      <c r="H202"/>
      <c r="I202"/>
      <c r="J202"/>
      <c r="K202"/>
      <c r="L202"/>
      <c r="M202"/>
      <c r="N202"/>
      <c r="O202"/>
      <c r="P202"/>
      <c r="Q202"/>
      <c r="R202"/>
      <c r="S202"/>
      <c r="T202"/>
      <c r="U202"/>
      <c r="V202"/>
      <c r="W202"/>
      <c r="X202"/>
      <c r="Y202"/>
      <c r="Z202"/>
      <c r="AA202"/>
    </row>
    <row r="203" ht="25.5" customHeight="1">
      <c r="A203">
        <v>645</v>
      </c>
      <c r="B203" t="inlineStr">
        <is>
          <t>气血豆浆</t>
        </is>
      </c>
      <c r="C203" t="inlineStr">
        <is>
          <t>05气血豆浆.jpg</t>
        </is>
      </c>
      <c r="D203">
        <v>29.9</v>
      </c>
      <c r="E203" s="2"/>
      <c r="F203"/>
      <c r="G203" s="2"/>
      <c r="H203"/>
      <c r="I203" t="inlineStr">
        <is>
          <t>DY-速力达优品, DY-海智动养优品</t>
        </is>
      </c>
      <c r="J203" t="inlineStr">
        <is>
          <t>🟢已上架</t>
        </is>
      </c>
      <c r="K203" t="inlineStr">
        <is>
          <t>黄豆, 红米, 红小豆, 花生, 红枣片, 枸杞</t>
        </is>
      </c>
      <c r="L203" t="inlineStr">
        <is>
          <t>包</t>
        </is>
      </c>
      <c r="M203"/>
      <c r="N203" t="inlineStr">
        <is>
          <t>240天</t>
        </is>
      </c>
      <c r="O203" t="inlineStr">
        <is>
          <t>70g</t>
        </is>
      </c>
      <c r="P203"/>
      <c r="Q203"/>
      <c r="R203" t="inlineStr">
        <is>
          <t>六重红色食材，专业气血食补配方，花生温润滋养，黄豆补充优质蛋白，一套配方舒缓经期虚等问题，温和食补不燥热。高含量植物蛋白，补足身体元气。天然香甜口感，顺滑无渣，不爱喝寡淡杂粮饮的人群也能接受。</t>
        </is>
      </c>
      <c r="S203" t="inlineStr">
        <is>
          <t>气血豆浆是专为气血不足人群调配的红色五谷养生豆浆原料包，六种红色温补食材科学搭配，遵循传统“红色养气血”食补理念，无多余香精、防腐剂，低钠配方温和不燥热。打磨后自带天然枣香与谷物清甜，口感醇厚顺滑，适合女性、体虚乏力、气色暗沉人群作为日常早餐、代餐长期饮用，温和内调，由内改善气色。</t>
        </is>
      </c>
      <c r="T203" t="inlineStr">
        <is>
          <t>1.取一包豆浆料包淘洗干净
2.将800ML左右的水倒入豆浆机中选择豆浆模式研磨煮沸</t>
        </is>
      </c>
      <c r="U203"/>
      <c r="V203"/>
      <c r="W203"/>
      <c r="X203" t="inlineStr">
        <is>
          <t>气血豆浆.xlsx</t>
        </is>
      </c>
      <c r="Y203" t="inlineStr">
        <is>
          <t>孙老师-五谷杂粮豆浆包</t>
        </is>
      </c>
      <c r="Z203" t="inlineStr">
        <is>
          <t>628</t>
        </is>
      </c>
      <c r="AA203"/>
    </row>
    <row r="204" ht="25.5" customHeight="1">
      <c r="A204">
        <v>646</v>
      </c>
      <c r="B204" t="inlineStr">
        <is>
          <t>熬夜豆浆</t>
        </is>
      </c>
      <c r="C204" t="inlineStr">
        <is>
          <t>12熬夜豆浆.jpg</t>
        </is>
      </c>
      <c r="D204">
        <v>29.9</v>
      </c>
      <c r="E204" s="2"/>
      <c r="F204"/>
      <c r="G204" s="2"/>
      <c r="H204"/>
      <c r="I204" t="inlineStr">
        <is>
          <t>DY-速力达优品, DY-海智动养优品</t>
        </is>
      </c>
      <c r="J204" t="inlineStr">
        <is>
          <t>🟢已上架</t>
        </is>
      </c>
      <c r="K204" t="inlineStr">
        <is>
          <t>黄豆, 绿豆, 黄小米, 百合</t>
        </is>
      </c>
      <c r="L204" t="inlineStr">
        <is>
          <t>包</t>
        </is>
      </c>
      <c r="M204"/>
      <c r="N204" t="inlineStr">
        <is>
          <t>240天</t>
        </is>
      </c>
      <c r="O204" t="inlineStr">
        <is>
          <t>70g</t>
        </is>
      </c>
      <c r="P204"/>
      <c r="Q204"/>
      <c r="R204" t="inlineStr">
        <is>
          <t>清润食补配方，专为熬夜人群定制。绿豆清热舒缓，百合清心润燥，中和熬夜产生的内热；黄小米温润护肠胃，搭配黄豆补充营养，配方清润不寒凉。超高优质植物蛋白，快速补足精力。配料仅四种原生谷物，清淡纯粹，不会加重身体代谢负担。科学谷物配比，口感温润好喝。绿豆中和油腻燥热，百合自带淡淡清香，黄小米增添绵密口感，无需加糖也自带自然谷物清甜，打浆细腻无渣，不苦涩，接受度更高。</t>
        </is>
      </c>
      <c r="S204" t="inlineStr">
        <is>
          <t>熬夜豆浆是专为经常熬夜、作息紊乱人群调配的谷物豆浆原料包，药食同源温和清润。食材均衡兼顾清润舒缓与高蛋白补充，打磨出的豆浆清香顺滑，日常早餐、加班代餐都合适，长期饮用缓解熬夜带来的燥热、疲惫，给熬夜人群温和的日常食补调理。</t>
        </is>
      </c>
      <c r="T204" t="inlineStr">
        <is>
          <t>1.取一包豆浆料包淘洗干净
2.将800ML左右的水倒入豆浆机中选择豆浆模式研磨煮沸</t>
        </is>
      </c>
      <c r="U204"/>
      <c r="V204"/>
      <c r="W204"/>
      <c r="X204" t="inlineStr">
        <is>
          <t>熬夜豆浆.xlsx</t>
        </is>
      </c>
      <c r="Y204" t="inlineStr">
        <is>
          <t>孙老师-五谷杂粮豆浆包</t>
        </is>
      </c>
      <c r="Z204" t="inlineStr">
        <is>
          <t>628</t>
        </is>
      </c>
      <c r="AA204"/>
    </row>
    <row r="205" ht="25.5" customHeight="1">
      <c r="A205">
        <v>643</v>
      </c>
      <c r="B205" t="inlineStr">
        <is>
          <t>低脂豆浆</t>
        </is>
      </c>
      <c r="C205" t="inlineStr">
        <is>
          <t>10低脂豆浆.jpg</t>
        </is>
      </c>
      <c r="D205">
        <v>29.9</v>
      </c>
      <c r="E205" s="2"/>
      <c r="F205"/>
      <c r="G205" s="2"/>
      <c r="H205"/>
      <c r="I205" t="inlineStr">
        <is>
          <t>DY-速力达优品, DY-海智动养优品</t>
        </is>
      </c>
      <c r="J205" t="inlineStr">
        <is>
          <t>🟢已上架</t>
        </is>
      </c>
      <c r="K205" t="inlineStr">
        <is>
          <t>黄豆, 燕麦, 紫薯, 白藜麦</t>
        </is>
      </c>
      <c r="L205" t="inlineStr">
        <is>
          <t>包</t>
        </is>
      </c>
      <c r="M205"/>
      <c r="N205" t="inlineStr">
        <is>
          <t>240天</t>
        </is>
      </c>
      <c r="O205" t="inlineStr">
        <is>
          <t>70g</t>
        </is>
      </c>
      <c r="P205"/>
      <c r="Q205"/>
      <c r="R205" t="inlineStr">
        <is>
          <t>大幅减少油脂摄入；低热量低负担，健身、控体重、塑形人群放心喝。四重优质谷物搭配，营养全面，不用额外加糖也好喝。低钠轻负担，配料干净纯粹，无重盐添加，不给身体代谢添负担，三高、控糖人群也适合。燕麦+藜麦双重高膳食纤维，喝完饱腹感持久，减少高热量早餐摄入，适合代餐、早餐，轻松管住嘴，辅助体重管理。</t>
        </is>
      </c>
      <c r="S205" t="inlineStr">
        <is>
          <t>低脂豆浆是专为控卡、减脂、轻食人群调配的五谷豆浆原料包，精选四种天然低卡谷物科学配比。配方主打低脂高纤，均衡植物蛋白，打磨后豆浆绵密清香，饱腹感持久，可作为早餐、代餐、下午茶替换高油高糖主食，兼顾控脂需求与谷物天然营养，减脂期、健身、日常清淡饮食人群均可长期饮用。</t>
        </is>
      </c>
      <c r="T205" t="inlineStr">
        <is>
          <t>1.取一包豆浆料包淘洗干净
2.将800ML左右的水倒入豆浆机中选择豆浆模式研磨煮沸</t>
        </is>
      </c>
      <c r="U205"/>
      <c r="V205"/>
      <c r="W205"/>
      <c r="X205" t="inlineStr">
        <is>
          <t>低脂豆浆.xlsx</t>
        </is>
      </c>
      <c r="Y205" t="inlineStr">
        <is>
          <t>孙老师-五谷杂粮豆浆包</t>
        </is>
      </c>
      <c r="Z205" t="inlineStr">
        <is>
          <t>628</t>
        </is>
      </c>
      <c r="AA205"/>
    </row>
    <row r="206" ht="25.5" customHeight="1">
      <c r="A206">
        <v>647</v>
      </c>
      <c r="B206" t="inlineStr">
        <is>
          <t>美龄豆浆</t>
        </is>
      </c>
      <c r="C206" t="inlineStr">
        <is>
          <t>07美龄豆浆.jpg</t>
        </is>
      </c>
      <c r="D206">
        <v>29.9</v>
      </c>
      <c r="E206" s="2"/>
      <c r="F206"/>
      <c r="G206" s="2"/>
      <c r="H206"/>
      <c r="I206" t="inlineStr">
        <is>
          <t>DY-速力达优品, DY-海智动养优品</t>
        </is>
      </c>
      <c r="J206" t="inlineStr">
        <is>
          <t>🟢已上架</t>
        </is>
      </c>
      <c r="K206" t="inlineStr">
        <is>
          <t>黄豆, 糯米, 山药, 百合, 银耳</t>
        </is>
      </c>
      <c r="L206" t="inlineStr">
        <is>
          <t>包</t>
        </is>
      </c>
      <c r="M206"/>
      <c r="N206" t="inlineStr">
        <is>
          <t>240天</t>
        </is>
      </c>
      <c r="O206" t="inlineStr">
        <is>
          <t>70g</t>
        </is>
      </c>
      <c r="P206"/>
      <c r="Q206"/>
      <c r="R206" t="inlineStr">
        <is>
          <t>银耳富含天然胶质；百合清心。搭配黄豆补充优质蛋白，温和不刺激，长期喝舒缓干燥暗沉。高含量植物蛋白，给女性日常充足营养支撑</t>
        </is>
      </c>
      <c r="S206" t="inlineStr">
        <is>
          <t>美龄豆浆是专为女性养颜调理打造的养生豆浆原料包。遵循传统养颜食补思路，药食同源兼顾润养与温和滋补，无香精、无蔗糖、无防腐剂。打浆后绵润顺滑，自带银耳胶质与谷物清香，日常早餐、代餐均可饮用，由内润养舒缓，帮助女性改善干燥、气色不佳等问题，实现日常轻养颜。</t>
        </is>
      </c>
      <c r="T206" t="inlineStr">
        <is>
          <t>1.取一包豆浆料包淘洗干净
2.将800ML左右的水倒入豆浆机中选择豆浆模式研磨煮沸</t>
        </is>
      </c>
      <c r="U206"/>
      <c r="V206"/>
      <c r="W206"/>
      <c r="X206" t="inlineStr">
        <is>
          <t>美龄豆浆.xlsx</t>
        </is>
      </c>
      <c r="Y206" t="inlineStr">
        <is>
          <t>孙老师-五谷杂粮豆浆包</t>
        </is>
      </c>
      <c r="Z206" t="inlineStr">
        <is>
          <t>628</t>
        </is>
      </c>
      <c r="AA206"/>
    </row>
    <row r="207" ht="25.5" customHeight="1">
      <c r="A207">
        <v>644</v>
      </c>
      <c r="B207" t="inlineStr">
        <is>
          <t>离湿豆浆</t>
        </is>
      </c>
      <c r="C207" t="inlineStr">
        <is>
          <t>08离湿豆浆.jpg</t>
        </is>
      </c>
      <c r="D207">
        <v>29.9</v>
      </c>
      <c r="E207" s="2"/>
      <c r="F207"/>
      <c r="G207" s="2"/>
      <c r="H207"/>
      <c r="I207" t="inlineStr">
        <is>
          <t>DY-速力达优品, DY-海智动养优品</t>
        </is>
      </c>
      <c r="J207" t="inlineStr">
        <is>
          <t>🟢已上架</t>
        </is>
      </c>
      <c r="K207" t="inlineStr">
        <is>
          <t>黄豆, 赤小豆, 薏米仁, 芡实, 茯苓, 莲子</t>
        </is>
      </c>
      <c r="L207" t="inlineStr">
        <is>
          <t>包</t>
        </is>
      </c>
      <c r="M207"/>
      <c r="N207" t="inlineStr">
        <is>
          <t>240天</t>
        </is>
      </c>
      <c r="O207" t="inlineStr">
        <is>
          <t>70g</t>
        </is>
      </c>
      <c r="P207"/>
      <c r="Q207"/>
      <c r="R207" t="inlineStr">
        <is>
          <t>六款杂粮科学复配，风味层次丰富，谷物香气更浓郁，口感醇厚有层次。补充日常谷物营养。仅保留杂粮本身原始风味。打磨完成后细腻顺滑，无粗糙杂粮渣，入口温润顺口，接受度更高。</t>
        </is>
      </c>
      <c r="S207" t="inlineStr">
        <is>
          <t>离湿豆浆是一款复合谷物杂粮豆浆原料包。甄选六种天然原生杂粮组合搭配，遵循传统五谷搭配思路，配方干净无额外添加。多种谷物融合打磨后口感顺滑柔和，自带天然谷物清香，无需额外加糖即可饮用。采用预先配比分装。适合偏爱杂粮饮食、追求清淡快手早餐的人群日常食用。</t>
        </is>
      </c>
      <c r="T207" t="inlineStr">
        <is>
          <t>1.取一包豆浆料包淘洗干净
2.将800ML左右的水倒入豆浆机中选择豆浆模式研磨煮沸</t>
        </is>
      </c>
      <c r="U207"/>
      <c r="V207"/>
      <c r="W207"/>
      <c r="X207" t="inlineStr">
        <is>
          <t>离湿豆浆.xlsx</t>
        </is>
      </c>
      <c r="Y207" t="inlineStr">
        <is>
          <t>孙老师-五谷杂粮豆浆包</t>
        </is>
      </c>
      <c r="Z207" t="inlineStr">
        <is>
          <t>628</t>
        </is>
      </c>
      <c r="AA207"/>
    </row>
    <row r="208" ht="25.5" customHeight="1">
      <c r="A208">
        <v>648</v>
      </c>
      <c r="B208" t="inlineStr">
        <is>
          <t>好梦豆浆</t>
        </is>
      </c>
      <c r="C208" t="inlineStr">
        <is>
          <t>13好梦豆浆.jpg</t>
        </is>
      </c>
      <c r="D208">
        <v>29.9</v>
      </c>
      <c r="E208" s="2"/>
      <c r="F208"/>
      <c r="G208" s="2"/>
      <c r="H208"/>
      <c r="I208" t="inlineStr">
        <is>
          <t>DY-速力达优品, DY-海智动养优品</t>
        </is>
      </c>
      <c r="J208" t="inlineStr">
        <is>
          <t>🟢已上架</t>
        </is>
      </c>
      <c r="K208" t="inlineStr">
        <is>
          <t>黄豆, 燕麦, 酸枣仁, 茯苓, 百合</t>
        </is>
      </c>
      <c r="L208" t="inlineStr">
        <is>
          <t>包</t>
        </is>
      </c>
      <c r="M208"/>
      <c r="N208" t="inlineStr">
        <is>
          <t>240天</t>
        </is>
      </c>
      <c r="O208" t="inlineStr">
        <is>
          <t>70g</t>
        </is>
      </c>
      <c r="P208"/>
      <c r="Q208"/>
      <c r="R208" t="inlineStr">
        <is>
          <t>五味安神古方搭配，药食同源温和养眠。搭配燕麦粗粮，碳水适中，饱腹感充足，同时舒缓身心。黄豆中和酸枣仁微酸、百合清苦，打磨后豆浆绵密顺滑，老少皆宜。</t>
        </is>
      </c>
      <c r="S208" t="inlineStr">
        <is>
          <t>好梦豆浆专为睡眠浅、心神不宁人群调配的食疗杂粮豆浆料包。甄选黄豆、燕麦、酸枣仁、茯苓、百合五味药食同源食材科学配比，0钠无额外添加，天然谷物原材搭配安神食材，无需自行搭配称重，放入破壁机、豆浆机加水即可打磨，香醇顺滑，适合晚间代餐、睡前轻食、早餐调理，温和养心安神，日常食补舒缓情绪、助力安睡。</t>
        </is>
      </c>
      <c r="T208" t="inlineStr">
        <is>
          <t>1.取一包豆浆料包淘洗干净
2.将800ML左右的水倒入豆浆机中选择豆浆模式研磨煮沸</t>
        </is>
      </c>
      <c r="U208"/>
      <c r="V208"/>
      <c r="W208"/>
      <c r="X208" t="inlineStr">
        <is>
          <t>好梦豆浆.xlsx</t>
        </is>
      </c>
      <c r="Y208" t="inlineStr">
        <is>
          <t>孙老师-五谷杂粮豆浆包</t>
        </is>
      </c>
      <c r="Z208" t="inlineStr">
        <is>
          <t>628</t>
        </is>
      </c>
      <c r="AA208"/>
    </row>
    <row r="209" ht="25.5" customHeight="1">
      <c r="A209">
        <v>651</v>
      </c>
      <c r="B209"/>
      <c r="C209"/>
      <c r="D209"/>
      <c r="E209" s="2"/>
      <c r="F209"/>
      <c r="G209" s="2"/>
      <c r="H209"/>
      <c r="I209"/>
      <c r="J209"/>
      <c r="K209"/>
      <c r="L209"/>
      <c r="M209"/>
      <c r="N209"/>
      <c r="O209"/>
      <c r="P209"/>
      <c r="Q209"/>
      <c r="R209"/>
      <c r="S209"/>
      <c r="T209"/>
      <c r="U209"/>
      <c r="V209"/>
      <c r="W209"/>
      <c r="X209"/>
      <c r="Y209"/>
      <c r="Z209"/>
      <c r="AA209"/>
    </row>
    <row r="210" ht="25.5" customHeight="1">
      <c r="A210">
        <v>652</v>
      </c>
      <c r="B210"/>
      <c r="C210"/>
      <c r="D210"/>
      <c r="E210" s="2"/>
      <c r="F210"/>
      <c r="G210" s="2"/>
      <c r="H210"/>
      <c r="I210"/>
      <c r="J210"/>
      <c r="K210"/>
      <c r="L210"/>
      <c r="M210"/>
      <c r="N210"/>
      <c r="O210"/>
      <c r="P210"/>
      <c r="Q210"/>
      <c r="R210"/>
      <c r="S210"/>
      <c r="T210"/>
      <c r="U210"/>
      <c r="V210"/>
      <c r="W210"/>
      <c r="X210"/>
      <c r="Y210"/>
      <c r="Z210"/>
      <c r="AA210"/>
    </row>
    <row r="211" ht="25.5" customHeight="1">
      <c r="A211">
        <v>653</v>
      </c>
      <c r="B211"/>
      <c r="C211"/>
      <c r="D211"/>
      <c r="E211" s="2"/>
      <c r="F211"/>
      <c r="G211" s="2"/>
      <c r="H211"/>
      <c r="I211"/>
      <c r="J211"/>
      <c r="K211"/>
      <c r="L211"/>
      <c r="M211"/>
      <c r="N211"/>
      <c r="O211"/>
      <c r="P211"/>
      <c r="Q211"/>
      <c r="R211"/>
      <c r="S211"/>
      <c r="T211"/>
      <c r="U211"/>
      <c r="V211"/>
      <c r="W211"/>
      <c r="X211"/>
      <c r="Y211"/>
      <c r="Z211"/>
      <c r="AA211"/>
    </row>
    <row r="212" ht="25.5" customHeight="1">
      <c r="A212">
        <v>654</v>
      </c>
      <c r="B212"/>
      <c r="C212"/>
      <c r="D212"/>
      <c r="E212" s="2"/>
      <c r="F212"/>
      <c r="G212" s="2"/>
      <c r="H212"/>
      <c r="I212"/>
      <c r="J212"/>
      <c r="K212"/>
      <c r="L212"/>
      <c r="M212"/>
      <c r="N212"/>
      <c r="O212"/>
      <c r="P212"/>
      <c r="Q212"/>
      <c r="R212"/>
      <c r="S212"/>
      <c r="T212"/>
      <c r="U212"/>
      <c r="V212"/>
      <c r="W212"/>
      <c r="X212"/>
      <c r="Y212"/>
      <c r="Z212"/>
      <c r="AA212"/>
    </row>
    <row r="213" ht="25.5" customHeight="1">
      <c r="A213">
        <v>655</v>
      </c>
      <c r="B213"/>
      <c r="C213"/>
      <c r="D213"/>
      <c r="E213" s="2"/>
      <c r="F213"/>
      <c r="G213" s="2"/>
      <c r="H213"/>
      <c r="I213"/>
      <c r="J213"/>
      <c r="K213"/>
      <c r="L213"/>
      <c r="M213"/>
      <c r="N213"/>
      <c r="O213"/>
      <c r="P213"/>
      <c r="Q213"/>
      <c r="R213"/>
      <c r="S213"/>
      <c r="T213"/>
      <c r="U213"/>
      <c r="V213"/>
      <c r="W213"/>
      <c r="X213"/>
      <c r="Y213"/>
      <c r="Z213"/>
      <c r="AA213"/>
    </row>
    <row r="214" ht="25.5" customHeight="1">
      <c r="A214">
        <v>656</v>
      </c>
      <c r="B214"/>
      <c r="C214"/>
      <c r="D214"/>
      <c r="E214" s="2"/>
      <c r="F214"/>
      <c r="G214" s="2"/>
      <c r="H214"/>
      <c r="I214"/>
      <c r="J214"/>
      <c r="K214"/>
      <c r="L214"/>
      <c r="M214"/>
      <c r="N214"/>
      <c r="O214"/>
      <c r="P214"/>
      <c r="Q214"/>
      <c r="R214"/>
      <c r="S214"/>
      <c r="T214"/>
      <c r="U214"/>
      <c r="V214"/>
      <c r="W214"/>
      <c r="X214"/>
      <c r="Y214"/>
      <c r="Z214"/>
      <c r="AA214"/>
    </row>
    <row r="215" ht="25.5" customHeight="1">
      <c r="A215">
        <v>657</v>
      </c>
      <c r="B215"/>
      <c r="C215"/>
      <c r="D215"/>
      <c r="E215" s="2"/>
      <c r="F215"/>
      <c r="G215" s="2"/>
      <c r="H215"/>
      <c r="I215"/>
      <c r="J215"/>
      <c r="K215"/>
      <c r="L215"/>
      <c r="M215"/>
      <c r="N215"/>
      <c r="O215"/>
      <c r="P215"/>
      <c r="Q215"/>
      <c r="R215"/>
      <c r="S215"/>
      <c r="T215"/>
      <c r="U215"/>
      <c r="V215"/>
      <c r="W215"/>
      <c r="X215"/>
      <c r="Y215"/>
      <c r="Z215"/>
      <c r="AA215"/>
    </row>
    <row r="216" ht="25.5" customHeight="1">
      <c r="A216">
        <v>658</v>
      </c>
      <c r="B216"/>
      <c r="C216"/>
      <c r="D216"/>
      <c r="E216" s="2"/>
      <c r="F216"/>
      <c r="G216" s="2"/>
      <c r="H216"/>
      <c r="I216"/>
      <c r="J216"/>
      <c r="K216"/>
      <c r="L216"/>
      <c r="M216"/>
      <c r="N216"/>
      <c r="O216"/>
      <c r="P216"/>
      <c r="Q216"/>
      <c r="R216"/>
      <c r="S216"/>
      <c r="T216"/>
      <c r="U216"/>
      <c r="V216"/>
      <c r="W216"/>
      <c r="X216"/>
      <c r="Y216"/>
      <c r="Z216"/>
      <c r="AA216"/>
    </row>
    <row r="217" ht="25.5" customHeight="1">
      <c r="A217">
        <v>659</v>
      </c>
      <c r="B217"/>
      <c r="C217"/>
      <c r="D217"/>
      <c r="E217" s="2"/>
      <c r="F217"/>
      <c r="G217" s="2"/>
      <c r="H217"/>
      <c r="I217"/>
      <c r="J217"/>
      <c r="K217"/>
      <c r="L217"/>
      <c r="M217"/>
      <c r="N217"/>
      <c r="O217"/>
      <c r="P217"/>
      <c r="Q217"/>
      <c r="R217"/>
      <c r="S217"/>
      <c r="T217"/>
      <c r="U217"/>
      <c r="V217"/>
      <c r="W217"/>
      <c r="X217"/>
      <c r="Y217"/>
      <c r="Z217"/>
      <c r="AA217"/>
    </row>
    <row r="218" ht="25.5" customHeight="1">
      <c r="A218">
        <v>660</v>
      </c>
      <c r="B218"/>
      <c r="C218"/>
      <c r="D218"/>
      <c r="E218" s="2"/>
      <c r="F218"/>
      <c r="G218" s="2"/>
      <c r="H218"/>
      <c r="I218"/>
      <c r="J218"/>
      <c r="K218"/>
      <c r="L218"/>
      <c r="M218"/>
      <c r="N218"/>
      <c r="O218"/>
      <c r="P218"/>
      <c r="Q218"/>
      <c r="R218"/>
      <c r="S218"/>
      <c r="T218"/>
      <c r="U218"/>
      <c r="V218"/>
      <c r="W218"/>
      <c r="X218"/>
      <c r="Y218"/>
      <c r="Z218"/>
      <c r="AA218"/>
    </row>
  </sheetData>
  <dataValidations count="1">
    <dataValidation allowBlank="false" sqref="J2:J217" type="list">
      <formula1>"🟢已上架,⚫已下架,🔴预售中,待定"</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